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dings" sheetId="2" state="visible" r:id="rId4"/>
    <sheet name="Trades" sheetId="3" state="visible" r:id="rId5"/>
    <sheet name="Legs" sheetId="4" state="visible" r:id="rId6"/>
    <sheet name="Automation Inp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<sst xmlns="http://schemas.openxmlformats.org/spreadsheetml/2006/main" count="906" uniqueCount="165">
  <si>
    <t xml:space="preserve">StockMock Iron Condor report — data validation</t>
  </si>
  <si>
    <t xml:space="preserve">Source: user-uploaded StockMock export (Simulator Rule sheet). Blue = values copied from report; black = recomputed by formula.</t>
  </si>
  <si>
    <t xml:space="preserve">Metric</t>
  </si>
  <si>
    <t xml:space="preserve">Reported (StockMock)</t>
  </si>
  <si>
    <t xml:space="preserve">Recomputed (67 closed trades)</t>
  </si>
  <si>
    <t xml:space="preserve">Match?</t>
  </si>
  <si>
    <t xml:space="preserve">Total Trades</t>
  </si>
  <si>
    <t xml:space="preserve">Overall Profit ₹</t>
  </si>
  <si>
    <t xml:space="preserve">Avg Trade Profit ₹</t>
  </si>
  <si>
    <t xml:space="preserve">Max Profit ₹</t>
  </si>
  <si>
    <t xml:space="preserve">Max Loss ₹</t>
  </si>
  <si>
    <t xml:space="preserve">Win %</t>
  </si>
  <si>
    <t xml:space="preserve">Winning trades</t>
  </si>
  <si>
    <t xml:space="preserve">Losing trades</t>
  </si>
  <si>
    <t xml:space="preserve">Avg Profit on Win ₹</t>
  </si>
  <si>
    <t xml:space="preserve">Avg Loss on Loss ₹</t>
  </si>
  <si>
    <t xml:space="preserve">Max Drawdown ₹</t>
  </si>
  <si>
    <t xml:space="preserve">Max win streak</t>
  </si>
  <si>
    <t xml:space="preserve">Max loss streak</t>
  </si>
  <si>
    <t xml:space="preserve">Win/loss trade counts are parsed from the "63% (42)" / "37% (25)" text. Avg-trade tolerance ±₹1 because StockMock rounds to whole rupees.</t>
  </si>
  <si>
    <t xml:space="preserve">Additional metrics (not in StockMock report)</t>
  </si>
  <si>
    <t xml:space="preserve">Total P&amp;L in points</t>
  </si>
  <si>
    <t xml:space="preserve">Profit factor</t>
  </si>
  <si>
    <t xml:space="preserve">Avg net credit (pts)</t>
  </si>
  <si>
    <t xml:space="preserve">Avg max theoretical loss (pts) = 200 − credit</t>
  </si>
  <si>
    <t xml:space="preserve">Exits: TARGET</t>
  </si>
  <si>
    <t xml:space="preserve">Exits: STOPLOSS</t>
  </si>
  <si>
    <t xml:space="preserve">Exits: TIME (15 DTE / prior trading day)</t>
  </si>
  <si>
    <t xml:space="preserve">Exits: MANUAL</t>
  </si>
  <si>
    <t xml:space="preserve">Cycles skipped (Apr-2026, no StockMock data)</t>
  </si>
  <si>
    <t xml:space="preserve">Trades entered while previous still open</t>
  </si>
  <si>
    <t xml:space="preserve">Leg rows failing Diff check</t>
  </si>
  <si>
    <t xml:space="preserve">Leg rows failing Profit check</t>
  </si>
  <si>
    <t xml:space="preserve">Trades with P&amp;L recon diff &gt; ₹4</t>
  </si>
  <si>
    <t xml:space="preserve">Trades with wing ≠ 200</t>
  </si>
  <si>
    <t xml:space="preserve">Trades with entry DTE outside 42–45</t>
  </si>
  <si>
    <t xml:space="preserve">#</t>
  </si>
  <si>
    <t xml:space="preserve">Severity</t>
  </si>
  <si>
    <t xml:space="preserve">Area</t>
  </si>
  <si>
    <t xml:space="preserve">Finding</t>
  </si>
  <si>
    <t xml:space="preserve">Impact on automation</t>
  </si>
  <si>
    <t xml:space="preserve">INFO</t>
  </si>
  <si>
    <t xml:space="preserve">Headline stats</t>
  </si>
  <si>
    <t xml:space="preserve">All 67 trades are closed. StockMock headline stats reconcile exactly (₹35,258, 42W/25L, MDD -₹11,120). Trade 67 has exit prices but a blank Exit Time cell in the export.</t>
  </si>
  <si>
    <t xml:space="preserve">Treat blank exit time with exit prices as CLOSED; 17-Aug-26 trade exit = 11-Sep-26 (user-confirmed).</t>
  </si>
  <si>
    <t xml:space="preserve">MEDIUM</t>
  </si>
  <si>
    <t xml:space="preserve">Manual exit</t>
  </si>
  <si>
    <t xml:space="preserve">Trade 23 (14-Nov-22) was exited manually at 17 DTE (user-confirmed). 15 DTE (14-Dec-22) was a Wednesday trading day, not a weekend.</t>
  </si>
  <si>
    <t xml:space="preserve">Rule-based engine will hold to 14-Dec-22 (or earlier TP/SL); tag as expected mismatch in reconciliation.</t>
  </si>
  <si>
    <t xml:space="preserve">Exit rule</t>
  </si>
  <si>
    <t xml:space="preserve">Trade 62 (15 DTE on a Sunday → 17 DTE) and trade 67 (15 DTE on the 14-Sep-26 holiday → 18 DTE) exited on the previous trading day.</t>
  </si>
  <si>
    <t xml:space="preserve">Time exit = last trading day on or before (expiry − 15 calendar days). Needs NSE trading calendar.</t>
  </si>
  <si>
    <t xml:space="preserve">Skipped cycle</t>
  </si>
  <si>
    <t xml:space="preserve">No trade for the April-2026 expiry — StockMock lacked proper strike data (user-confirmed).</t>
  </si>
  <si>
    <t xml:space="preserve">Engine skips this cycle and logs it; exclude from comparisons.</t>
  </si>
  <si>
    <t xml:space="preserve">HIGH</t>
  </si>
  <si>
    <t xml:space="preserve">Concurrency</t>
  </si>
  <si>
    <t xml:space="preserve">32 of 66 new trades were entered before the previous trade exited. Two condors are often open together.</t>
  </si>
  <si>
    <t xml:space="preserve">Engine must support ≥2 simultaneous positions; risk and margin budgets must assume 2 condors.</t>
  </si>
  <si>
    <t xml:space="preserve">Stop-loss</t>
  </si>
  <si>
    <t xml:space="preserve">SL at 100% of credit ≈ structure max loss (credit ≈103 pts, wing 200 → max ≈97 pts). One SL overshot to -112% on a daily-only check.</t>
  </si>
  <si>
    <t xml:space="preserve">Size on max loss (wing − credit), not on SL.</t>
  </si>
  <si>
    <t xml:space="preserve">Lot size</t>
  </si>
  <si>
    <t xml:space="preserve">Qty per lot: 50 (to Jan-25 expiry), 75 (Feb-25 to Dec-25), 65 (Jan-26 onward). Sizing = 1 lot at each period's lot size (user decision).</t>
  </si>
  <si>
    <t xml:space="preserve">Engine needs a lot-size lookup by expiry; report points and rupees.</t>
  </si>
  <si>
    <t xml:space="preserve">Delta column</t>
  </si>
  <si>
    <t xml:space="preserve">Deltas are position deltas at exit, not entry deltas. 30-delta selection cannot be verified from this file.</t>
  </si>
  <si>
    <t xml:space="preserve">Use report strikes as given (per spec).</t>
  </si>
  <si>
    <t xml:space="preserve">LOW</t>
  </si>
  <si>
    <t xml:space="preserve">Entry timing</t>
  </si>
  <si>
    <t xml:space="preserve">Entries are Mondays (Tuesday when Monday was a holiday: 16-Aug-22, 15-Apr-25). Entry DTE 42–45.</t>
  </si>
  <si>
    <t xml:space="preserve">Replay uses report dates.</t>
  </si>
  <si>
    <t xml:space="preserve">Format</t>
  </si>
  <si>
    <t xml:space="preserve">Numbers stored as text; timestamps have no year; leg order varies; one blank exit time.</t>
  </si>
  <si>
    <t xml:space="preserve">Parser must cast types, infer year from block header, identify legs by side+type.</t>
  </si>
  <si>
    <t xml:space="preserve">Arithmetic</t>
  </si>
  <si>
    <t xml:space="preserve">All 268 legs and 67 trade P&amp;Ls reconcile; all wings 200; all entries 11:16, exits 15:16; legs exit together.</t>
  </si>
  <si>
    <t xml:space="preserve">File is usable as the reference dataset.</t>
  </si>
  <si>
    <t xml:space="preserve">Costs</t>
  </si>
  <si>
    <t xml:space="preserve">Report P&amp;L excludes brokerage, taxes and slippage.</t>
  </si>
  <si>
    <t xml:space="preserve">Automation reports gross and net P&amp;L.</t>
  </si>
  <si>
    <t xml:space="preserve">Trade #</t>
  </si>
  <si>
    <t xml:space="preserve">Status</t>
  </si>
  <si>
    <t xml:space="preserve">Entry DT</t>
  </si>
  <si>
    <t xml:space="preserve">Exit DT</t>
  </si>
  <si>
    <t xml:space="preserve">Expiry</t>
  </si>
  <si>
    <t xml:space="preserve">Entry DTE</t>
  </si>
  <si>
    <t xml:space="preserve">Exit DTE</t>
  </si>
  <si>
    <t xml:space="preserve">Qty</t>
  </si>
  <si>
    <t xml:space="preserve">Sell CE</t>
  </si>
  <si>
    <t xml:space="preserve">Buy CE</t>
  </si>
  <si>
    <t xml:space="preserve">Sell PE</t>
  </si>
  <si>
    <t xml:space="preserve">Buy PE</t>
  </si>
  <si>
    <t xml:space="preserve">CE wing</t>
  </si>
  <si>
    <t xml:space="preserve">PE wing</t>
  </si>
  <si>
    <t xml:space="preserve">SC entry</t>
  </si>
  <si>
    <t xml:space="preserve">BC entry</t>
  </si>
  <si>
    <t xml:space="preserve">SP entry</t>
  </si>
  <si>
    <t xml:space="preserve">BP entry</t>
  </si>
  <si>
    <t xml:space="preserve">SC exit</t>
  </si>
  <si>
    <t xml:space="preserve">BC exit</t>
  </si>
  <si>
    <t xml:space="preserve">SP exit</t>
  </si>
  <si>
    <t xml:space="preserve">BP exit</t>
  </si>
  <si>
    <t xml:space="preserve">Net credit (pts)</t>
  </si>
  <si>
    <t xml:space="preserve">Exit value (pts)</t>
  </si>
  <si>
    <t xml:space="preserve">P&amp;L (pts)</t>
  </si>
  <si>
    <t xml:space="preserve">P&amp;L % credit</t>
  </si>
  <si>
    <t xml:space="preserve">P&amp;L ₹ (calc)</t>
  </si>
  <si>
    <t xml:space="preserve">P&amp;L ₹ (reported)</t>
  </si>
  <si>
    <t xml:space="preserve">Recon diff ₹</t>
  </si>
  <si>
    <t xml:space="preserve">TP level (pts)</t>
  </si>
  <si>
    <t xml:space="preserve">SL level (pts)</t>
  </si>
  <si>
    <t xml:space="preserve">Exit reason (rule)</t>
  </si>
  <si>
    <t xml:space="preserve">Exit type (confirmed)</t>
  </si>
  <si>
    <t xml:space="preserve">Explanation / flag</t>
  </si>
  <si>
    <t xml:space="preserve">Overlaps prev trade?</t>
  </si>
  <si>
    <t xml:space="preserve">Cum P&amp;L ₹</t>
  </si>
  <si>
    <t xml:space="preserve">Peak ₹</t>
  </si>
  <si>
    <t xml:space="preserve">Drawdown ₹</t>
  </si>
  <si>
    <t xml:space="preserve">Win streak</t>
  </si>
  <si>
    <t xml:space="preserve">Loss streak</t>
  </si>
  <si>
    <t xml:space="preserve">no</t>
  </si>
  <si>
    <t xml:space="preserve">YES</t>
  </si>
  <si>
    <t xml:space="preserve">MANUAL</t>
  </si>
  <si>
    <t xml:space="preserve">MANUAL exit in StockMock (user-confirmed). Note 14-Dec-22 (15 DTE) was a Wednesday trading day, so the rule-based engine will NOT exit here; expected reconciliation mismatch.</t>
  </si>
  <si>
    <t xml:space="preserve">SL hit at -112% of credit: daily-only check lets loss run past the 100% level.</t>
  </si>
  <si>
    <t xml:space="preserve">TIME</t>
  </si>
  <si>
    <t xml:space="preserve">Exit at 17 DTE: 15-DTE date (15-Mar-26) was a Sunday, so the time exit moved to the previous trading day (Fri 13-Mar-26). Implies rule = last trading day on/before the 15-DTE date.</t>
  </si>
  <si>
    <t xml:space="preserve">CLOSED. Exit prices are in the report but the Exit Time cell is blank in the export. Exit Fri 11-Sep-26 15:16 (18 DTE), user-confirmed: 15-DTE date 14-Sep-26 was a market holiday, so time exit rolled to prior trading day (same rule as trade 62). P&amp;L -54 pts (-52.6% of credit).</t>
  </si>
  <si>
    <t xml:space="preserve">Src Row</t>
  </si>
  <si>
    <t xml:space="preserve">Side</t>
  </si>
  <si>
    <t xml:space="preserve">Type</t>
  </si>
  <si>
    <t xml:space="preserve">Strike</t>
  </si>
  <si>
    <t xml:space="preserve">Entry Px</t>
  </si>
  <si>
    <t xml:space="preserve">Exit Px</t>
  </si>
  <si>
    <t xml:space="preserve">Diff (rep)</t>
  </si>
  <si>
    <t xml:space="preserve">Profit (rep)</t>
  </si>
  <si>
    <t xml:space="preserve">Delta (rep)</t>
  </si>
  <si>
    <t xml:space="preserve">Qty (derived)</t>
  </si>
  <si>
    <t xml:space="preserve">Diff check</t>
  </si>
  <si>
    <t xml:space="preserve">Profit check</t>
  </si>
  <si>
    <t xml:space="preserve">Buy</t>
  </si>
  <si>
    <t xml:space="preserve">PE</t>
  </si>
  <si>
    <t xml:space="preserve">Sell</t>
  </si>
  <si>
    <t xml:space="preserve">CE</t>
  </si>
  <si>
    <t xml:space="preserve">trade_id</t>
  </si>
  <si>
    <t xml:space="preserve">entry_date</t>
  </si>
  <si>
    <t xml:space="preserve">entry_time</t>
  </si>
  <si>
    <t xml:space="preserve">expiry</t>
  </si>
  <si>
    <t xml:space="preserve">sell_ce</t>
  </si>
  <si>
    <t xml:space="preserve">buy_ce</t>
  </si>
  <si>
    <t xml:space="preserve">sell_pe</t>
  </si>
  <si>
    <t xml:space="preserve">buy_pe</t>
  </si>
  <si>
    <t xml:space="preserve">qty_stockmock</t>
  </si>
  <si>
    <t xml:space="preserve">ref_exit_date</t>
  </si>
  <si>
    <t xml:space="preserve">ref_exit_reason</t>
  </si>
  <si>
    <t xml:space="preserve">ref_pnl_pts</t>
  </si>
  <si>
    <t xml:space="preserve">ref_pnl_rs</t>
  </si>
  <si>
    <t xml:space="preserve">ref_note</t>
  </si>
  <si>
    <t xml:space="preserve">11:16</t>
  </si>
  <si>
    <t xml:space="preserve">TARGET</t>
  </si>
  <si>
    <t xml:space="preserve">STOPLOSS</t>
  </si>
  <si>
    <t xml:space="preserve">manual exit - expected mismatch</t>
  </si>
  <si>
    <t xml:space="preserve">15 DTE on Sunday - rolled to prior trading day</t>
  </si>
  <si>
    <t xml:space="preserve">exit time blank in export; 11-Sep-26 user-confirmed (14-Sep holiday)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</si>
</sst>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"/>
    <numFmt numFmtId="167" formatCode="0.0%"/>
    <numFmt numFmtId="168" formatCode="0.0"/>
    <numFmt numFmtId="169" formatCode="0.00"/>
    <numFmt numFmtId="170" formatCode="dd\-mmm\-yy\ hh:mm"/>
    <numFmt numFmtId="171" formatCode="dd\-mmm\-yy"/>
    <numFmt numFmtId="172" formatCode="General"/>
    <numFmt numFmtId="173" formatCode="#,##0;\(#,##0\);\-"/>
    <numFmt numFmtId="174" formatCode="dd\-mmm\-yyyy"/>
    <numFmt numFmtId="175" formatCode="dd\-mmm\-yyyy\ hh:mm"/>
    <numFmt numFmtId="17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4EDDA"/>
        <bgColor rgb="FFE2E3E5"/>
      </patternFill>
    </fill>
    <fill>
      <patternFill patternType="solid">
        <fgColor rgb="FFFFF2CC"/>
        <bgColor rgb="FFFFFFFF"/>
      </patternFill>
    </fill>
    <fill>
      <patternFill patternType="solid">
        <fgColor rgb="FFF8D7DA"/>
        <bgColor rgb="FFE2E3E5"/>
      </patternFill>
    </fill>
    <fill>
      <patternFill patternType="solid">
        <fgColor rgb="FFE2E3E5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2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2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v>67</v>
      </c>
      <c r="C5" s="7" t="n">
        <f aca="false">COUNT(Trades!AB2:AB68)</f>
        <v>67</v>
      </c>
      <c r="D5" s="5" t="str">
        <f aca="false">IF(ABS(B5-C5)&lt;=IF(ABS(B5)&lt;1,0.01,1),"OK","DIFF")</f>
        <v>OK</v>
      </c>
    </row>
    <row r="6" customFormat="false" ht="15" hidden="false" customHeight="false" outlineLevel="0" collapsed="false">
      <c r="A6" s="5" t="s">
        <v>7</v>
      </c>
      <c r="B6" s="8" t="n">
        <v>35258</v>
      </c>
      <c r="C6" s="9" t="n">
        <f aca="false">SUM(Trades!AB2:AB68)</f>
        <v>35258</v>
      </c>
      <c r="D6" s="5" t="str">
        <f aca="false">IF(ABS(B6-C6)&lt;=IF(ABS(B6)&lt;1,0.01,1),"OK","DIFF")</f>
        <v>OK</v>
      </c>
    </row>
    <row r="7" customFormat="false" ht="15" hidden="false" customHeight="false" outlineLevel="0" collapsed="false">
      <c r="A7" s="5" t="s">
        <v>8</v>
      </c>
      <c r="B7" s="8" t="n">
        <v>526</v>
      </c>
      <c r="C7" s="9" t="n">
        <f aca="false">AVERAGE(Trades!AB2:AB68)</f>
        <v>526.238805970149</v>
      </c>
      <c r="D7" s="5" t="str">
        <f aca="false">IF(ABS(B7-C7)&lt;=IF(ABS(B7)&lt;1,0.01,1),"OK","DIFF")</f>
        <v>OK</v>
      </c>
    </row>
    <row r="8" customFormat="false" ht="15" hidden="false" customHeight="false" outlineLevel="0" collapsed="false">
      <c r="A8" s="5" t="s">
        <v>9</v>
      </c>
      <c r="B8" s="8" t="n">
        <v>4605</v>
      </c>
      <c r="C8" s="9" t="n">
        <f aca="false">MAX(Trades!AB2:AB68)</f>
        <v>4605</v>
      </c>
      <c r="D8" s="5" t="str">
        <f aca="false">IF(ABS(B8-C8)&lt;=IF(ABS(B8)&lt;1,0.01,1),"OK","DIFF")</f>
        <v>OK</v>
      </c>
    </row>
    <row r="9" customFormat="false" ht="15" hidden="false" customHeight="false" outlineLevel="0" collapsed="false">
      <c r="A9" s="5" t="s">
        <v>10</v>
      </c>
      <c r="B9" s="8" t="n">
        <v>-5981</v>
      </c>
      <c r="C9" s="9" t="n">
        <f aca="false">MIN(Trades!AB2:AB68)</f>
        <v>-5981</v>
      </c>
      <c r="D9" s="5" t="str">
        <f aca="false">IF(ABS(B9-C9)&lt;=IF(ABS(B9)&lt;1,0.01,1),"OK","DIFF")</f>
        <v>OK</v>
      </c>
    </row>
    <row r="10" customFormat="false" ht="15" hidden="false" customHeight="false" outlineLevel="0" collapsed="false">
      <c r="A10" s="5" t="s">
        <v>11</v>
      </c>
      <c r="B10" s="10" t="n">
        <v>0.63</v>
      </c>
      <c r="C10" s="11" t="n">
        <f aca="false">COUNTIF(Trades!AB2:AB68,"&gt;0")/COUNT(Trades!AB2:AB68)</f>
        <v>0.626865671641791</v>
      </c>
      <c r="D10" s="5" t="str">
        <f aca="false">IF(ABS(B10-C10)&lt;=IF(ABS(B10)&lt;1,0.01,1),"OK","DIFF")</f>
        <v>OK</v>
      </c>
    </row>
    <row r="11" customFormat="false" ht="15" hidden="false" customHeight="false" outlineLevel="0" collapsed="false">
      <c r="A11" s="5" t="s">
        <v>12</v>
      </c>
      <c r="B11" s="6" t="n">
        <v>42</v>
      </c>
      <c r="C11" s="7" t="n">
        <f aca="false">COUNTIF(Trades!AB2:AB68,"&gt;0")</f>
        <v>42</v>
      </c>
      <c r="D11" s="5" t="str">
        <f aca="false">IF(ABS(B11-C11)&lt;=IF(ABS(B11)&lt;1,0.01,1),"OK","DIFF")</f>
        <v>OK</v>
      </c>
    </row>
    <row r="12" customFormat="false" ht="15" hidden="false" customHeight="false" outlineLevel="0" collapsed="false">
      <c r="A12" s="5" t="s">
        <v>13</v>
      </c>
      <c r="B12" s="6" t="n">
        <v>25</v>
      </c>
      <c r="C12" s="7" t="n">
        <f aca="false">COUNTIF(Trades!AB2:AB68,"&lt;=0")</f>
        <v>25</v>
      </c>
      <c r="D12" s="5" t="str">
        <f aca="false">IF(ABS(B12-C12)&lt;=IF(ABS(B12)&lt;1,0.01,1),"OK","DIFF")</f>
        <v>OK</v>
      </c>
    </row>
    <row r="13" customFormat="false" ht="15" hidden="false" customHeight="false" outlineLevel="0" collapsed="false">
      <c r="A13" s="5" t="s">
        <v>14</v>
      </c>
      <c r="B13" s="8" t="n">
        <v>2466</v>
      </c>
      <c r="C13" s="9" t="n">
        <f aca="false">AVERAGEIF(Trades!AB2:AB68,"&gt;0")</f>
        <v>2466.38095238095</v>
      </c>
      <c r="D13" s="5" t="str">
        <f aca="false">IF(ABS(B13-C13)&lt;=IF(ABS(B13)&lt;1,0.01,1),"OK","DIFF")</f>
        <v>OK</v>
      </c>
    </row>
    <row r="14" customFormat="false" ht="15" hidden="false" customHeight="false" outlineLevel="0" collapsed="false">
      <c r="A14" s="5" t="s">
        <v>15</v>
      </c>
      <c r="B14" s="8" t="n">
        <v>-2733</v>
      </c>
      <c r="C14" s="9" t="n">
        <f aca="false">AVERAGEIF(Trades!AB2:AB68,"&lt;=0")</f>
        <v>-2733.2</v>
      </c>
      <c r="D14" s="5" t="str">
        <f aca="false">IF(ABS(B14-C14)&lt;=IF(ABS(B14)&lt;1,0.01,1),"OK","DIFF")</f>
        <v>OK</v>
      </c>
    </row>
    <row r="15" customFormat="false" ht="15" hidden="false" customHeight="false" outlineLevel="0" collapsed="false">
      <c r="A15" s="5" t="s">
        <v>16</v>
      </c>
      <c r="B15" s="8" t="n">
        <v>-11120</v>
      </c>
      <c r="C15" s="9" t="n">
        <f aca="false">MIN(Trades!AL2:AL68)</f>
        <v>-11120</v>
      </c>
      <c r="D15" s="5" t="str">
        <f aca="false">IF(ABS(B15-C15)&lt;=IF(ABS(B15)&lt;1,0.01,1),"OK","DIFF")</f>
        <v>OK</v>
      </c>
    </row>
    <row r="16" customFormat="false" ht="15" hidden="false" customHeight="false" outlineLevel="0" collapsed="false">
      <c r="A16" s="5" t="s">
        <v>17</v>
      </c>
      <c r="B16" s="6" t="n">
        <v>9</v>
      </c>
      <c r="C16" s="7" t="n">
        <f aca="false">MAX(Trades!AM2:AM68)</f>
        <v>9</v>
      </c>
      <c r="D16" s="5" t="str">
        <f aca="false">IF(ABS(B16-C16)&lt;=IF(ABS(B16)&lt;1,0.01,1),"OK","DIFF")</f>
        <v>OK</v>
      </c>
    </row>
    <row r="17" customFormat="false" ht="15" hidden="false" customHeight="false" outlineLevel="0" collapsed="false">
      <c r="A17" s="5" t="s">
        <v>18</v>
      </c>
      <c r="B17" s="6" t="n">
        <v>3</v>
      </c>
      <c r="C17" s="7" t="n">
        <f aca="false">MAX(Trades!AN2:AN68)</f>
        <v>3</v>
      </c>
      <c r="D17" s="5" t="str">
        <f aca="false">IF(ABS(B17-C17)&lt;=IF(ABS(B17)&lt;1,0.01,1),"OK","DIFF")</f>
        <v>OK</v>
      </c>
    </row>
    <row r="18" customFormat="false" ht="15" hidden="false" customHeight="false" outlineLevel="0" collapsed="false">
      <c r="A18" s="3" t="s">
        <v>19</v>
      </c>
    </row>
    <row r="20" customFormat="false" ht="15" hidden="false" customHeight="false" outlineLevel="0" collapsed="false">
      <c r="A20" s="12" t="s">
        <v>20</v>
      </c>
    </row>
    <row r="21" customFormat="false" ht="15" hidden="false" customHeight="false" outlineLevel="0" collapsed="false">
      <c r="A21" s="5" t="s">
        <v>21</v>
      </c>
      <c r="B21" s="13" t="n">
        <f aca="false">SUM(Trades!Y2:Y68)</f>
        <v>531.100000000001</v>
      </c>
    </row>
    <row r="22" customFormat="false" ht="15" hidden="false" customHeight="false" outlineLevel="0" collapsed="false">
      <c r="A22" s="5" t="s">
        <v>22</v>
      </c>
      <c r="B22" s="14" t="n">
        <f aca="false">SUMIF(Trades!AB2:AB68,"&gt;0")/-SUMIF(Trades!AB2:AB68,"&lt;0")</f>
        <v>1.51599590223913</v>
      </c>
    </row>
    <row r="23" customFormat="false" ht="15" hidden="false" customHeight="false" outlineLevel="0" collapsed="false">
      <c r="A23" s="5" t="s">
        <v>23</v>
      </c>
      <c r="B23" s="13" t="n">
        <f aca="false">AVERAGE(Trades!W2:W68)</f>
        <v>103.487313432836</v>
      </c>
    </row>
    <row r="24" customFormat="false" ht="15" hidden="false" customHeight="false" outlineLevel="0" collapsed="false">
      <c r="A24" s="5" t="s">
        <v>24</v>
      </c>
      <c r="B24" s="13" t="n">
        <f aca="false">200-AVERAGE(Trades!W2:W68)</f>
        <v>96.5126865671642</v>
      </c>
    </row>
    <row r="25" customFormat="false" ht="15" hidden="false" customHeight="false" outlineLevel="0" collapsed="false">
      <c r="A25" s="5" t="s">
        <v>25</v>
      </c>
      <c r="B25" s="7" t="n">
        <f aca="false">COUNTIF(Trades!AG2:AG68,"TARGET")</f>
        <v>17</v>
      </c>
    </row>
    <row r="26" customFormat="false" ht="15" hidden="false" customHeight="false" outlineLevel="0" collapsed="false">
      <c r="A26" s="5" t="s">
        <v>26</v>
      </c>
      <c r="B26" s="7" t="n">
        <f aca="false">COUNTIF(Trades!AG2:AG68,"STOPLOSS")</f>
        <v>3</v>
      </c>
    </row>
    <row r="27" customFormat="false" ht="15" hidden="false" customHeight="false" outlineLevel="0" collapsed="false">
      <c r="A27" s="5" t="s">
        <v>27</v>
      </c>
      <c r="B27" s="7" t="n">
        <f aca="false">COUNTIF(Trades!AG2:AG68,"TIME")</f>
        <v>46</v>
      </c>
    </row>
    <row r="28" customFormat="false" ht="15" hidden="false" customHeight="false" outlineLevel="0" collapsed="false">
      <c r="A28" s="5" t="s">
        <v>28</v>
      </c>
      <c r="B28" s="7" t="n">
        <f aca="false">COUNTIF(Trades!AG2:AG68,"MANUAL")</f>
        <v>1</v>
      </c>
    </row>
    <row r="29" customFormat="false" ht="15" hidden="false" customHeight="false" outlineLevel="0" collapsed="false">
      <c r="A29" s="5" t="s">
        <v>29</v>
      </c>
      <c r="B29" s="7" t="n">
        <v>1</v>
      </c>
    </row>
    <row r="30" customFormat="false" ht="15" hidden="false" customHeight="false" outlineLevel="0" collapsed="false">
      <c r="A30" s="5" t="s">
        <v>30</v>
      </c>
      <c r="B30" s="7" t="n">
        <f aca="false">COUNTIF(Trades!AI2:AI68,"YES")</f>
        <v>32</v>
      </c>
    </row>
    <row r="31" customFormat="false" ht="15" hidden="false" customHeight="false" outlineLevel="0" collapsed="false">
      <c r="A31" s="5" t="s">
        <v>31</v>
      </c>
      <c r="B31" s="7" t="n">
        <f aca="false">COUNTIF(Legs!O2:O269,"MISMATCH")</f>
        <v>0</v>
      </c>
    </row>
    <row r="32" customFormat="false" ht="15" hidden="false" customHeight="false" outlineLevel="0" collapsed="false">
      <c r="A32" s="5" t="s">
        <v>32</v>
      </c>
      <c r="B32" s="7" t="n">
        <f aca="false">COUNTIF(Legs!P2:P269,"MISMATCH")</f>
        <v>0</v>
      </c>
    </row>
    <row r="33" customFormat="false" ht="15" hidden="false" customHeight="false" outlineLevel="0" collapsed="false">
      <c r="A33" s="5" t="s">
        <v>33</v>
      </c>
      <c r="B33" s="7" t="n">
        <f aca="false">SUMPRODUCT(--(ABS(Trades!AC2:AC68)&gt;4))</f>
        <v>0</v>
      </c>
    </row>
    <row r="34" customFormat="false" ht="15" hidden="false" customHeight="false" outlineLevel="0" collapsed="false">
      <c r="A34" s="5" t="s">
        <v>34</v>
      </c>
      <c r="B34" s="7" t="n">
        <f aca="false">SUMPRODUCT(--((Trades!M2:M68&lt;&gt;200)+(Trades!N2:N68&lt;&gt;200)&gt;0))</f>
        <v>0</v>
      </c>
    </row>
    <row r="35" customFormat="false" ht="15" hidden="false" customHeight="false" outlineLevel="0" collapsed="false">
      <c r="A35" s="5" t="s">
        <v>35</v>
      </c>
      <c r="B35" s="7" t="n">
        <f aca="false">SUMPRODUCT(--((Trades!F2:F68&lt;42)+(Trades!F2:F68&gt;45)&gt;0))</f>
        <v>0</v>
      </c>
    </row>
  </sheetData>
  <conditionalFormatting sqref="D5:D17">
    <cfRule type="expression" priority="2" aboveAverage="0" equalAverage="0" bottom="0" percent="0" rank="0" text="" dxfId="0">
      <formula>D5="DIFF"</formula>
    </cfRule>
    <cfRule type="expression" priority="3" aboveAverage="0" equalAverage="0" bottom="0" percent="0" rank="0" text="" dxfId="1">
      <formula>D5="OK"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70"/>
    <col collapsed="false" customWidth="true" hidden="false" outlineLevel="0" max="5" min="5" style="1" width="60"/>
  </cols>
  <sheetData>
    <row r="1" customFormat="false" ht="1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</row>
    <row r="2" customFormat="false" ht="35.05" hidden="false" customHeight="false" outlineLevel="0" collapsed="false">
      <c r="A2" s="15" t="n">
        <v>1</v>
      </c>
      <c r="B2" s="16" t="s">
        <v>41</v>
      </c>
      <c r="C2" s="15" t="s">
        <v>42</v>
      </c>
      <c r="D2" s="15" t="s">
        <v>43</v>
      </c>
      <c r="E2" s="15" t="s">
        <v>44</v>
      </c>
    </row>
    <row r="3" customFormat="false" ht="23.85" hidden="false" customHeight="false" outlineLevel="0" collapsed="false">
      <c r="A3" s="15" t="n">
        <v>2</v>
      </c>
      <c r="B3" s="17" t="s">
        <v>45</v>
      </c>
      <c r="C3" s="15" t="s">
        <v>46</v>
      </c>
      <c r="D3" s="15" t="s">
        <v>47</v>
      </c>
      <c r="E3" s="15" t="s">
        <v>48</v>
      </c>
    </row>
    <row r="4" customFormat="false" ht="23.85" hidden="false" customHeight="false" outlineLevel="0" collapsed="false">
      <c r="A4" s="15" t="n">
        <v>3</v>
      </c>
      <c r="B4" s="17" t="s">
        <v>45</v>
      </c>
      <c r="C4" s="15" t="s">
        <v>49</v>
      </c>
      <c r="D4" s="15" t="s">
        <v>50</v>
      </c>
      <c r="E4" s="15" t="s">
        <v>51</v>
      </c>
    </row>
    <row r="5" customFormat="false" ht="23.85" hidden="false" customHeight="false" outlineLevel="0" collapsed="false">
      <c r="A5" s="15" t="n">
        <v>4</v>
      </c>
      <c r="B5" s="17" t="s">
        <v>45</v>
      </c>
      <c r="C5" s="15" t="s">
        <v>52</v>
      </c>
      <c r="D5" s="15" t="s">
        <v>53</v>
      </c>
      <c r="E5" s="15" t="s">
        <v>54</v>
      </c>
    </row>
    <row r="6" customFormat="false" ht="23.85" hidden="false" customHeight="false" outlineLevel="0" collapsed="false">
      <c r="A6" s="15" t="n">
        <v>5</v>
      </c>
      <c r="B6" s="18" t="s">
        <v>55</v>
      </c>
      <c r="C6" s="15" t="s">
        <v>56</v>
      </c>
      <c r="D6" s="15" t="s">
        <v>57</v>
      </c>
      <c r="E6" s="15" t="s">
        <v>58</v>
      </c>
    </row>
    <row r="7" customFormat="false" ht="23.85" hidden="false" customHeight="false" outlineLevel="0" collapsed="false">
      <c r="A7" s="15" t="n">
        <v>6</v>
      </c>
      <c r="B7" s="17" t="s">
        <v>45</v>
      </c>
      <c r="C7" s="15" t="s">
        <v>59</v>
      </c>
      <c r="D7" s="15" t="s">
        <v>60</v>
      </c>
      <c r="E7" s="15" t="s">
        <v>61</v>
      </c>
    </row>
    <row r="8" customFormat="false" ht="23.85" hidden="false" customHeight="false" outlineLevel="0" collapsed="false">
      <c r="A8" s="15" t="n">
        <v>7</v>
      </c>
      <c r="B8" s="16" t="s">
        <v>41</v>
      </c>
      <c r="C8" s="15" t="s">
        <v>62</v>
      </c>
      <c r="D8" s="15" t="s">
        <v>63</v>
      </c>
      <c r="E8" s="15" t="s">
        <v>64</v>
      </c>
    </row>
    <row r="9" customFormat="false" ht="23.85" hidden="false" customHeight="false" outlineLevel="0" collapsed="false">
      <c r="A9" s="15" t="n">
        <v>8</v>
      </c>
      <c r="B9" s="17" t="s">
        <v>45</v>
      </c>
      <c r="C9" s="15" t="s">
        <v>65</v>
      </c>
      <c r="D9" s="15" t="s">
        <v>66</v>
      </c>
      <c r="E9" s="15" t="s">
        <v>67</v>
      </c>
    </row>
    <row r="10" customFormat="false" ht="23.85" hidden="false" customHeight="false" outlineLevel="0" collapsed="false">
      <c r="A10" s="15" t="n">
        <v>9</v>
      </c>
      <c r="B10" s="19" t="s">
        <v>68</v>
      </c>
      <c r="C10" s="15" t="s">
        <v>69</v>
      </c>
      <c r="D10" s="15" t="s">
        <v>70</v>
      </c>
      <c r="E10" s="15" t="s">
        <v>71</v>
      </c>
    </row>
    <row r="11" customFormat="false" ht="23.85" hidden="false" customHeight="false" outlineLevel="0" collapsed="false">
      <c r="A11" s="15" t="n">
        <v>10</v>
      </c>
      <c r="B11" s="19" t="s">
        <v>68</v>
      </c>
      <c r="C11" s="15" t="s">
        <v>72</v>
      </c>
      <c r="D11" s="15" t="s">
        <v>73</v>
      </c>
      <c r="E11" s="15" t="s">
        <v>74</v>
      </c>
    </row>
    <row r="12" customFormat="false" ht="23.85" hidden="false" customHeight="false" outlineLevel="0" collapsed="false">
      <c r="A12" s="15" t="n">
        <v>11</v>
      </c>
      <c r="B12" s="16" t="s">
        <v>41</v>
      </c>
      <c r="C12" s="15" t="s">
        <v>75</v>
      </c>
      <c r="D12" s="15" t="s">
        <v>76</v>
      </c>
      <c r="E12" s="15" t="s">
        <v>77</v>
      </c>
    </row>
    <row r="13" customFormat="false" ht="15" hidden="false" customHeight="false" outlineLevel="0" collapsed="false">
      <c r="A13" s="15" t="n">
        <v>12</v>
      </c>
      <c r="B13" s="16" t="s">
        <v>41</v>
      </c>
      <c r="C13" s="15" t="s">
        <v>78</v>
      </c>
      <c r="D13" s="15" t="s">
        <v>79</v>
      </c>
      <c r="E13" s="1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4" min="3" style="1" width="15"/>
    <col collapsed="false" customWidth="true" hidden="false" outlineLevel="0" max="5" min="5" style="1" width="11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14" min="9" style="1" width="8"/>
    <col collapsed="false" customWidth="true" hidden="false" outlineLevel="0" max="22" min="15" style="1" width="7"/>
    <col collapsed="false" customWidth="true" hidden="false" outlineLevel="0" max="26" min="23" style="1" width="9"/>
    <col collapsed="false" customWidth="true" hidden="false" outlineLevel="0" max="28" min="27" style="1" width="10"/>
    <col collapsed="false" customWidth="true" hidden="false" outlineLevel="0" max="29" min="29" style="1" width="9"/>
    <col collapsed="false" customWidth="true" hidden="false" outlineLevel="0" max="31" min="30" style="1" width="8"/>
    <col collapsed="false" customWidth="true" hidden="false" outlineLevel="0" max="33" min="32" style="1" width="12"/>
    <col collapsed="false" customWidth="true" hidden="false" outlineLevel="0" max="34" min="34" style="1" width="55"/>
    <col collapsed="false" customWidth="true" hidden="false" outlineLevel="0" max="35" min="35" style="1" width="9"/>
    <col collapsed="false" customWidth="true" hidden="false" outlineLevel="0" max="38" min="36" style="1" width="10"/>
    <col collapsed="false" customWidth="true" hidden="false" outlineLevel="0" max="40" min="39" style="1" width="7"/>
  </cols>
  <sheetData>
    <row r="1" customFormat="false" ht="31.5" hidden="false" customHeight="true" outlineLevel="0" collapsed="false">
      <c r="A1" s="20" t="s">
        <v>81</v>
      </c>
      <c r="B1" s="20" t="s">
        <v>82</v>
      </c>
      <c r="C1" s="20" t="s">
        <v>83</v>
      </c>
      <c r="D1" s="20" t="s">
        <v>84</v>
      </c>
      <c r="E1" s="20" t="s">
        <v>85</v>
      </c>
      <c r="F1" s="20" t="s">
        <v>86</v>
      </c>
      <c r="G1" s="20" t="s">
        <v>87</v>
      </c>
      <c r="H1" s="20" t="s">
        <v>88</v>
      </c>
      <c r="I1" s="20" t="s">
        <v>89</v>
      </c>
      <c r="J1" s="20" t="s">
        <v>90</v>
      </c>
      <c r="K1" s="20" t="s">
        <v>91</v>
      </c>
      <c r="L1" s="20" t="s">
        <v>92</v>
      </c>
      <c r="M1" s="20" t="s">
        <v>93</v>
      </c>
      <c r="N1" s="20" t="s">
        <v>94</v>
      </c>
      <c r="O1" s="20" t="s">
        <v>95</v>
      </c>
      <c r="P1" s="20" t="s">
        <v>96</v>
      </c>
      <c r="Q1" s="20" t="s">
        <v>97</v>
      </c>
      <c r="R1" s="20" t="s">
        <v>98</v>
      </c>
      <c r="S1" s="20" t="s">
        <v>99</v>
      </c>
      <c r="T1" s="20" t="s">
        <v>100</v>
      </c>
      <c r="U1" s="20" t="s">
        <v>101</v>
      </c>
      <c r="V1" s="20" t="s">
        <v>102</v>
      </c>
      <c r="W1" s="20" t="s">
        <v>103</v>
      </c>
      <c r="X1" s="20" t="s">
        <v>104</v>
      </c>
      <c r="Y1" s="20" t="s">
        <v>105</v>
      </c>
      <c r="Z1" s="20" t="s">
        <v>106</v>
      </c>
      <c r="AA1" s="20" t="s">
        <v>107</v>
      </c>
      <c r="AB1" s="20" t="s">
        <v>108</v>
      </c>
      <c r="AC1" s="20" t="s">
        <v>109</v>
      </c>
      <c r="AD1" s="20" t="s">
        <v>110</v>
      </c>
      <c r="AE1" s="20" t="s">
        <v>111</v>
      </c>
      <c r="AF1" s="20" t="s">
        <v>112</v>
      </c>
      <c r="AG1" s="20" t="s">
        <v>113</v>
      </c>
      <c r="AH1" s="20" t="s">
        <v>114</v>
      </c>
      <c r="AI1" s="20" t="s">
        <v>115</v>
      </c>
      <c r="AJ1" s="20" t="s">
        <v>116</v>
      </c>
      <c r="AK1" s="20" t="s">
        <v>117</v>
      </c>
      <c r="AL1" s="20" t="s">
        <v>118</v>
      </c>
      <c r="AM1" s="20" t="s">
        <v>119</v>
      </c>
      <c r="AN1" s="20" t="s">
        <v>120</v>
      </c>
    </row>
    <row r="2" customFormat="false" ht="15" hidden="false" customHeight="false" outlineLevel="0" collapsed="false">
      <c r="A2" s="5" t="n">
        <v>1</v>
      </c>
      <c r="B2" s="5" t="str">
        <f aca="false">IF(D2="","OPEN","CLOSED")</f>
        <v>CLOSED</v>
      </c>
      <c r="C2" s="21" t="n">
        <v>44207.4694444445</v>
      </c>
      <c r="D2" s="21" t="n">
        <v>44237.6361111111</v>
      </c>
      <c r="E2" s="22" t="n">
        <v>44252</v>
      </c>
      <c r="F2" s="23" t="n">
        <f aca="false">INT(E2)-INT(C2)</f>
        <v>45</v>
      </c>
      <c r="G2" s="5" t="n">
        <f aca="false">IF(D2="","",INT(E2)-INT(D2))</f>
        <v>15</v>
      </c>
      <c r="H2" s="24" t="n">
        <v>50</v>
      </c>
      <c r="I2" s="24" t="n">
        <v>15100</v>
      </c>
      <c r="J2" s="24" t="n">
        <v>15300</v>
      </c>
      <c r="K2" s="24" t="n">
        <v>13800</v>
      </c>
      <c r="L2" s="24" t="n">
        <v>13600</v>
      </c>
      <c r="M2" s="23" t="n">
        <f aca="false">J2-I2</f>
        <v>200</v>
      </c>
      <c r="N2" s="23" t="n">
        <f aca="false">K2-L2</f>
        <v>200</v>
      </c>
      <c r="O2" s="24" t="n">
        <v>199.1</v>
      </c>
      <c r="P2" s="24" t="n">
        <v>147.3</v>
      </c>
      <c r="Q2" s="24" t="n">
        <v>217.4</v>
      </c>
      <c r="R2" s="24" t="n">
        <v>168.7</v>
      </c>
      <c r="S2" s="24" t="n">
        <v>256.2</v>
      </c>
      <c r="T2" s="24" t="n">
        <v>155.3</v>
      </c>
      <c r="U2" s="24" t="n">
        <v>22.6</v>
      </c>
      <c r="V2" s="24" t="n">
        <v>16.6</v>
      </c>
      <c r="W2" s="14" t="n">
        <f aca="false">O2+Q2-P2-R2</f>
        <v>100.5</v>
      </c>
      <c r="X2" s="14" t="n">
        <f aca="false">S2+U2-T2-V2</f>
        <v>106.9</v>
      </c>
      <c r="Y2" s="14" t="n">
        <f aca="false">W2-X2</f>
        <v>-6.40000000000001</v>
      </c>
      <c r="Z2" s="11" t="n">
        <f aca="false">IF(W2=0,"",Y2/W2)</f>
        <v>-0.0636815920398011</v>
      </c>
      <c r="AA2" s="25" t="n">
        <f aca="false">Y2*H2</f>
        <v>-320</v>
      </c>
      <c r="AB2" s="26" t="n">
        <v>-320</v>
      </c>
      <c r="AC2" s="25" t="n">
        <f aca="false">ROUND(AA2-AB2,0)</f>
        <v>0</v>
      </c>
      <c r="AD2" s="14" t="n">
        <f aca="false">0.5*W2</f>
        <v>50.25</v>
      </c>
      <c r="AE2" s="14" t="n">
        <f aca="false">-1*W2</f>
        <v>-100.5</v>
      </c>
      <c r="AF2" s="5" t="str">
        <f aca="false">IF(D2="","OPEN",IF(ROUND(Z2,4)&gt;=0.5,"TARGET",IF(ROUND(Z2,4)&lt;=-1,"STOPLOSS",IF(G2&lt;=15,"TIME","CHECK"))))</f>
        <v>TIME</v>
      </c>
      <c r="AG2" s="5" t="str">
        <f aca="false">AF2</f>
        <v>TIME</v>
      </c>
      <c r="AH2" s="15"/>
      <c r="AI2" s="5" t="s">
        <v>121</v>
      </c>
      <c r="AJ2" s="25" t="n">
        <f aca="false">AB2</f>
        <v>-320</v>
      </c>
      <c r="AK2" s="25" t="n">
        <f aca="false">MAX(0,AJ2)</f>
        <v>0</v>
      </c>
      <c r="AL2" s="25" t="n">
        <f aca="false">AJ2-AK2</f>
        <v>-320</v>
      </c>
      <c r="AM2" s="5" t="n">
        <f aca="false">IF(AB2&gt;0,1,0)</f>
        <v>0</v>
      </c>
      <c r="AN2" s="5" t="n">
        <f aca="false">IF(AB2&lt;=0,1,0)</f>
        <v>1</v>
      </c>
    </row>
    <row r="3" customFormat="false" ht="15" hidden="false" customHeight="false" outlineLevel="0" collapsed="false">
      <c r="A3" s="5" t="n">
        <v>2</v>
      </c>
      <c r="B3" s="5" t="str">
        <f aca="false">IF(D3="","OPEN","CLOSED")</f>
        <v>CLOSED</v>
      </c>
      <c r="C3" s="21" t="n">
        <v>44235.4694444445</v>
      </c>
      <c r="D3" s="21" t="n">
        <v>44265.6361111111</v>
      </c>
      <c r="E3" s="22" t="n">
        <v>44280</v>
      </c>
      <c r="F3" s="23" t="n">
        <f aca="false">INT(E3)-INT(C3)</f>
        <v>45</v>
      </c>
      <c r="G3" s="5" t="n">
        <f aca="false">IF(D3="","",INT(E3)-INT(D3))</f>
        <v>15</v>
      </c>
      <c r="H3" s="24" t="n">
        <v>50</v>
      </c>
      <c r="I3" s="24" t="n">
        <v>15700</v>
      </c>
      <c r="J3" s="24" t="n">
        <v>15900</v>
      </c>
      <c r="K3" s="24" t="n">
        <v>14500</v>
      </c>
      <c r="L3" s="24" t="n">
        <v>14300</v>
      </c>
      <c r="M3" s="23" t="n">
        <f aca="false">J3-I3</f>
        <v>200</v>
      </c>
      <c r="N3" s="23" t="n">
        <f aca="false">K3-L3</f>
        <v>200</v>
      </c>
      <c r="O3" s="24" t="n">
        <v>206</v>
      </c>
      <c r="P3" s="24" t="n">
        <v>145.1</v>
      </c>
      <c r="Q3" s="24" t="n">
        <v>237</v>
      </c>
      <c r="R3" s="24" t="n">
        <v>195.1</v>
      </c>
      <c r="S3" s="24" t="n">
        <v>62</v>
      </c>
      <c r="T3" s="24" t="n">
        <v>29.7</v>
      </c>
      <c r="U3" s="24" t="n">
        <v>63.6</v>
      </c>
      <c r="V3" s="24" t="n">
        <v>42.1</v>
      </c>
      <c r="W3" s="14" t="n">
        <f aca="false">O3+Q3-P3-R3</f>
        <v>102.8</v>
      </c>
      <c r="X3" s="14" t="n">
        <f aca="false">S3+U3-T3-V3</f>
        <v>53.8</v>
      </c>
      <c r="Y3" s="14" t="n">
        <f aca="false">W3-X3</f>
        <v>49</v>
      </c>
      <c r="Z3" s="11" t="n">
        <f aca="false">IF(W3=0,"",Y3/W3)</f>
        <v>0.476653696498055</v>
      </c>
      <c r="AA3" s="25" t="n">
        <f aca="false">Y3*H3</f>
        <v>2450</v>
      </c>
      <c r="AB3" s="26" t="n">
        <v>2450</v>
      </c>
      <c r="AC3" s="25" t="n">
        <f aca="false">ROUND(AA3-AB3,0)</f>
        <v>0</v>
      </c>
      <c r="AD3" s="14" t="n">
        <f aca="false">0.5*W3</f>
        <v>51.4</v>
      </c>
      <c r="AE3" s="14" t="n">
        <f aca="false">-1*W3</f>
        <v>-102.8</v>
      </c>
      <c r="AF3" s="5" t="str">
        <f aca="false">IF(D3="","OPEN",IF(ROUND(Z3,4)&gt;=0.5,"TARGET",IF(ROUND(Z3,4)&lt;=-1,"STOPLOSS",IF(G3&lt;=15,"TIME","CHECK"))))</f>
        <v>TIME</v>
      </c>
      <c r="AG3" s="5" t="str">
        <f aca="false">AF3</f>
        <v>TIME</v>
      </c>
      <c r="AH3" s="15"/>
      <c r="AI3" s="5" t="s">
        <v>122</v>
      </c>
      <c r="AJ3" s="25" t="n">
        <f aca="false">AJ2+AB3</f>
        <v>2130</v>
      </c>
      <c r="AK3" s="25" t="n">
        <f aca="false">MAX(AK2,AJ3)</f>
        <v>2130</v>
      </c>
      <c r="AL3" s="25" t="n">
        <f aca="false">AJ3-AK3</f>
        <v>0</v>
      </c>
      <c r="AM3" s="5" t="n">
        <f aca="false">IF(AB3&gt;0,AM2+1,0)</f>
        <v>1</v>
      </c>
      <c r="AN3" s="5" t="n">
        <f aca="false">IF(AB3&lt;=0,AN2+1,0)</f>
        <v>0</v>
      </c>
    </row>
    <row r="4" customFormat="false" ht="15" hidden="false" customHeight="false" outlineLevel="0" collapsed="false">
      <c r="A4" s="5" t="n">
        <v>3</v>
      </c>
      <c r="B4" s="5" t="str">
        <f aca="false">IF(D4="","OPEN","CLOSED")</f>
        <v>CLOSED</v>
      </c>
      <c r="C4" s="21" t="n">
        <v>44270.4694444445</v>
      </c>
      <c r="D4" s="21" t="n">
        <v>44295.6361111111</v>
      </c>
      <c r="E4" s="22" t="n">
        <v>44315</v>
      </c>
      <c r="F4" s="23" t="n">
        <f aca="false">INT(E4)-INT(C4)</f>
        <v>45</v>
      </c>
      <c r="G4" s="5" t="n">
        <f aca="false">IF(D4="","",INT(E4)-INT(D4))</f>
        <v>20</v>
      </c>
      <c r="H4" s="24" t="n">
        <v>50</v>
      </c>
      <c r="I4" s="24" t="n">
        <v>15500</v>
      </c>
      <c r="J4" s="24" t="n">
        <v>15700</v>
      </c>
      <c r="K4" s="24" t="n">
        <v>14300</v>
      </c>
      <c r="L4" s="24" t="n">
        <v>14100</v>
      </c>
      <c r="M4" s="23" t="n">
        <f aca="false">J4-I4</f>
        <v>200</v>
      </c>
      <c r="N4" s="23" t="n">
        <f aca="false">K4-L4</f>
        <v>200</v>
      </c>
      <c r="O4" s="24" t="n">
        <v>184</v>
      </c>
      <c r="P4" s="24" t="n">
        <v>129</v>
      </c>
      <c r="Q4" s="24" t="n">
        <v>216.6</v>
      </c>
      <c r="R4" s="24" t="n">
        <v>168.2</v>
      </c>
      <c r="S4" s="24" t="n">
        <v>40.8</v>
      </c>
      <c r="T4" s="24" t="n">
        <v>17.7</v>
      </c>
      <c r="U4" s="24" t="n">
        <v>95.5</v>
      </c>
      <c r="V4" s="24" t="n">
        <v>67</v>
      </c>
      <c r="W4" s="14" t="n">
        <f aca="false">O4+Q4-P4-R4</f>
        <v>103.4</v>
      </c>
      <c r="X4" s="14" t="n">
        <f aca="false">S4+U4-T4-V4</f>
        <v>51.6</v>
      </c>
      <c r="Y4" s="14" t="n">
        <f aca="false">W4-X4</f>
        <v>51.8</v>
      </c>
      <c r="Z4" s="11" t="n">
        <f aca="false">IF(W4=0,"",Y4/W4)</f>
        <v>0.500967117988395</v>
      </c>
      <c r="AA4" s="25" t="n">
        <f aca="false">Y4*H4</f>
        <v>2590</v>
      </c>
      <c r="AB4" s="26" t="n">
        <v>2589</v>
      </c>
      <c r="AC4" s="25" t="n">
        <f aca="false">ROUND(AA4-AB4,0)</f>
        <v>1</v>
      </c>
      <c r="AD4" s="14" t="n">
        <f aca="false">0.5*W4</f>
        <v>51.7</v>
      </c>
      <c r="AE4" s="14" t="n">
        <f aca="false">-1*W4</f>
        <v>-103.4</v>
      </c>
      <c r="AF4" s="5" t="str">
        <f aca="false">IF(D4="","OPEN",IF(ROUND(Z4,4)&gt;=0.5,"TARGET",IF(ROUND(Z4,4)&lt;=-1,"STOPLOSS",IF(G4&lt;=15,"TIME","CHECK"))))</f>
        <v>TARGET</v>
      </c>
      <c r="AG4" s="5" t="str">
        <f aca="false">AF4</f>
        <v>TARGET</v>
      </c>
      <c r="AH4" s="15"/>
      <c r="AI4" s="5" t="s">
        <v>121</v>
      </c>
      <c r="AJ4" s="25" t="n">
        <f aca="false">AJ3+AB4</f>
        <v>4719</v>
      </c>
      <c r="AK4" s="25" t="n">
        <f aca="false">MAX(AK3,AJ4)</f>
        <v>4719</v>
      </c>
      <c r="AL4" s="25" t="n">
        <f aca="false">AJ4-AK4</f>
        <v>0</v>
      </c>
      <c r="AM4" s="5" t="n">
        <f aca="false">IF(AB4&gt;0,AM3+1,0)</f>
        <v>2</v>
      </c>
      <c r="AN4" s="5" t="n">
        <f aca="false">IF(AB4&lt;=0,AN3+1,0)</f>
        <v>0</v>
      </c>
    </row>
    <row r="5" customFormat="false" ht="15" hidden="false" customHeight="false" outlineLevel="0" collapsed="false">
      <c r="A5" s="5" t="n">
        <v>4</v>
      </c>
      <c r="B5" s="5" t="str">
        <f aca="false">IF(D5="","OPEN","CLOSED")</f>
        <v>CLOSED</v>
      </c>
      <c r="C5" s="21" t="n">
        <v>44298.4694444445</v>
      </c>
      <c r="D5" s="21" t="n">
        <v>44328.6361111111</v>
      </c>
      <c r="E5" s="22" t="n">
        <v>44343</v>
      </c>
      <c r="F5" s="23" t="n">
        <f aca="false">INT(E5)-INT(C5)</f>
        <v>45</v>
      </c>
      <c r="G5" s="5" t="n">
        <f aca="false">IF(D5="","",INT(E5)-INT(D5))</f>
        <v>15</v>
      </c>
      <c r="H5" s="24" t="n">
        <v>50</v>
      </c>
      <c r="I5" s="24" t="n">
        <v>15100</v>
      </c>
      <c r="J5" s="24" t="n">
        <v>15300</v>
      </c>
      <c r="K5" s="24" t="n">
        <v>14000</v>
      </c>
      <c r="L5" s="24" t="n">
        <v>13800</v>
      </c>
      <c r="M5" s="23" t="n">
        <f aca="false">J5-I5</f>
        <v>200</v>
      </c>
      <c r="N5" s="23" t="n">
        <f aca="false">K5-L5</f>
        <v>200</v>
      </c>
      <c r="O5" s="24" t="n">
        <v>179.2</v>
      </c>
      <c r="P5" s="24" t="n">
        <v>123.3</v>
      </c>
      <c r="Q5" s="24" t="n">
        <v>236</v>
      </c>
      <c r="R5" s="24" t="n">
        <v>178.8</v>
      </c>
      <c r="S5" s="24" t="n">
        <v>72.5</v>
      </c>
      <c r="T5" s="24" t="n">
        <v>33.4</v>
      </c>
      <c r="U5" s="24" t="n">
        <v>45.6</v>
      </c>
      <c r="V5" s="24" t="n">
        <v>27.1</v>
      </c>
      <c r="W5" s="14" t="n">
        <f aca="false">O5+Q5-P5-R5</f>
        <v>113.1</v>
      </c>
      <c r="X5" s="14" t="n">
        <f aca="false">S5+U5-T5-V5</f>
        <v>57.6</v>
      </c>
      <c r="Y5" s="14" t="n">
        <f aca="false">W5-X5</f>
        <v>55.5</v>
      </c>
      <c r="Z5" s="11" t="n">
        <f aca="false">IF(W5=0,"",Y5/W5)</f>
        <v>0.490716180371353</v>
      </c>
      <c r="AA5" s="25" t="n">
        <f aca="false">Y5*H5</f>
        <v>2775</v>
      </c>
      <c r="AB5" s="26" t="n">
        <v>2776</v>
      </c>
      <c r="AC5" s="25" t="n">
        <f aca="false">ROUND(AA5-AB5,0)</f>
        <v>-1</v>
      </c>
      <c r="AD5" s="14" t="n">
        <f aca="false">0.5*W5</f>
        <v>56.55</v>
      </c>
      <c r="AE5" s="14" t="n">
        <f aca="false">-1*W5</f>
        <v>-113.1</v>
      </c>
      <c r="AF5" s="5" t="str">
        <f aca="false">IF(D5="","OPEN",IF(ROUND(Z5,4)&gt;=0.5,"TARGET",IF(ROUND(Z5,4)&lt;=-1,"STOPLOSS",IF(G5&lt;=15,"TIME","CHECK"))))</f>
        <v>TIME</v>
      </c>
      <c r="AG5" s="5" t="str">
        <f aca="false">AF5</f>
        <v>TIME</v>
      </c>
      <c r="AH5" s="15"/>
      <c r="AI5" s="5" t="s">
        <v>121</v>
      </c>
      <c r="AJ5" s="25" t="n">
        <f aca="false">AJ4+AB5</f>
        <v>7495</v>
      </c>
      <c r="AK5" s="25" t="n">
        <f aca="false">MAX(AK4,AJ5)</f>
        <v>7495</v>
      </c>
      <c r="AL5" s="25" t="n">
        <f aca="false">AJ5-AK5</f>
        <v>0</v>
      </c>
      <c r="AM5" s="5" t="n">
        <f aca="false">IF(AB5&gt;0,AM4+1,0)</f>
        <v>3</v>
      </c>
      <c r="AN5" s="5" t="n">
        <f aca="false">IF(AB5&lt;=0,AN4+1,0)</f>
        <v>0</v>
      </c>
    </row>
    <row r="6" customFormat="false" ht="15" hidden="false" customHeight="false" outlineLevel="0" collapsed="false">
      <c r="A6" s="5" t="n">
        <v>5</v>
      </c>
      <c r="B6" s="5" t="str">
        <f aca="false">IF(D6="","OPEN","CLOSED")</f>
        <v>CLOSED</v>
      </c>
      <c r="C6" s="21" t="n">
        <v>44326.4694444445</v>
      </c>
      <c r="D6" s="21" t="n">
        <v>44356.6361111111</v>
      </c>
      <c r="E6" s="22" t="n">
        <v>44371</v>
      </c>
      <c r="F6" s="23" t="n">
        <f aca="false">INT(E6)-INT(C6)</f>
        <v>45</v>
      </c>
      <c r="G6" s="5" t="n">
        <f aca="false">IF(D6="","",INT(E6)-INT(D6))</f>
        <v>15</v>
      </c>
      <c r="H6" s="24" t="n">
        <v>50</v>
      </c>
      <c r="I6" s="24" t="n">
        <v>15500</v>
      </c>
      <c r="J6" s="24" t="n">
        <v>15700</v>
      </c>
      <c r="K6" s="24" t="n">
        <v>14500</v>
      </c>
      <c r="L6" s="24" t="n">
        <v>14300</v>
      </c>
      <c r="M6" s="23" t="n">
        <f aca="false">J6-I6</f>
        <v>200</v>
      </c>
      <c r="N6" s="23" t="n">
        <f aca="false">K6-L6</f>
        <v>200</v>
      </c>
      <c r="O6" s="24" t="n">
        <v>175.1</v>
      </c>
      <c r="P6" s="24" t="n">
        <v>113.8</v>
      </c>
      <c r="Q6" s="24" t="n">
        <v>214.5</v>
      </c>
      <c r="R6" s="24" t="n">
        <v>165.8</v>
      </c>
      <c r="S6" s="24" t="n">
        <v>272.2</v>
      </c>
      <c r="T6" s="24" t="n">
        <v>152.2</v>
      </c>
      <c r="U6" s="24" t="n">
        <v>8.9</v>
      </c>
      <c r="V6" s="24" t="n">
        <v>5.7</v>
      </c>
      <c r="W6" s="14" t="n">
        <f aca="false">O6+Q6-P6-R6</f>
        <v>110</v>
      </c>
      <c r="X6" s="14" t="n">
        <f aca="false">S6+U6-T6-V6</f>
        <v>123.2</v>
      </c>
      <c r="Y6" s="14" t="n">
        <f aca="false">W6-X6</f>
        <v>-13.2</v>
      </c>
      <c r="Z6" s="11" t="n">
        <f aca="false">IF(W6=0,"",Y6/W6)</f>
        <v>-0.12</v>
      </c>
      <c r="AA6" s="25" t="n">
        <f aca="false">Y6*H6</f>
        <v>-659.999999999999</v>
      </c>
      <c r="AB6" s="26" t="n">
        <v>-660</v>
      </c>
      <c r="AC6" s="25" t="n">
        <f aca="false">ROUND(AA6-AB6,0)</f>
        <v>0</v>
      </c>
      <c r="AD6" s="14" t="n">
        <f aca="false">0.5*W6</f>
        <v>55</v>
      </c>
      <c r="AE6" s="14" t="n">
        <f aca="false">-1*W6</f>
        <v>-110</v>
      </c>
      <c r="AF6" s="5" t="str">
        <f aca="false">IF(D6="","OPEN",IF(ROUND(Z6,4)&gt;=0.5,"TARGET",IF(ROUND(Z6,4)&lt;=-1,"STOPLOSS",IF(G6&lt;=15,"TIME","CHECK"))))</f>
        <v>TIME</v>
      </c>
      <c r="AG6" s="5" t="str">
        <f aca="false">AF6</f>
        <v>TIME</v>
      </c>
      <c r="AH6" s="15"/>
      <c r="AI6" s="5" t="s">
        <v>122</v>
      </c>
      <c r="AJ6" s="25" t="n">
        <f aca="false">AJ5+AB6</f>
        <v>6835</v>
      </c>
      <c r="AK6" s="25" t="n">
        <f aca="false">MAX(AK5,AJ6)</f>
        <v>7495</v>
      </c>
      <c r="AL6" s="25" t="n">
        <f aca="false">AJ6-AK6</f>
        <v>-660</v>
      </c>
      <c r="AM6" s="5" t="n">
        <f aca="false">IF(AB6&gt;0,AM5+1,0)</f>
        <v>0</v>
      </c>
      <c r="AN6" s="5" t="n">
        <f aca="false">IF(AB6&lt;=0,AN5+1,0)</f>
        <v>1</v>
      </c>
    </row>
    <row r="7" customFormat="false" ht="15" hidden="false" customHeight="false" outlineLevel="0" collapsed="false">
      <c r="A7" s="5" t="n">
        <v>6</v>
      </c>
      <c r="B7" s="5" t="str">
        <f aca="false">IF(D7="","OPEN","CLOSED")</f>
        <v>CLOSED</v>
      </c>
      <c r="C7" s="21" t="n">
        <v>44361.4694444445</v>
      </c>
      <c r="D7" s="21" t="n">
        <v>44386.6361111111</v>
      </c>
      <c r="E7" s="22" t="n">
        <v>44406</v>
      </c>
      <c r="F7" s="23" t="n">
        <f aca="false">INT(E7)-INT(C7)</f>
        <v>45</v>
      </c>
      <c r="G7" s="5" t="n">
        <f aca="false">IF(D7="","",INT(E7)-INT(D7))</f>
        <v>20</v>
      </c>
      <c r="H7" s="24" t="n">
        <v>50</v>
      </c>
      <c r="I7" s="24" t="n">
        <v>16100</v>
      </c>
      <c r="J7" s="24" t="n">
        <v>16300</v>
      </c>
      <c r="K7" s="24" t="n">
        <v>15400</v>
      </c>
      <c r="L7" s="24" t="n">
        <v>15200</v>
      </c>
      <c r="M7" s="23" t="n">
        <f aca="false">J7-I7</f>
        <v>200</v>
      </c>
      <c r="N7" s="23" t="n">
        <f aca="false">K7-L7</f>
        <v>200</v>
      </c>
      <c r="O7" s="24" t="n">
        <v>144.8</v>
      </c>
      <c r="P7" s="24" t="n">
        <v>84.3</v>
      </c>
      <c r="Q7" s="24" t="n">
        <v>164.9</v>
      </c>
      <c r="R7" s="24" t="n">
        <v>114.2</v>
      </c>
      <c r="S7" s="24" t="n">
        <v>39.1</v>
      </c>
      <c r="T7" s="24" t="n">
        <v>15.6</v>
      </c>
      <c r="U7" s="24" t="n">
        <v>70.1</v>
      </c>
      <c r="V7" s="24" t="n">
        <v>38.7</v>
      </c>
      <c r="W7" s="14" t="n">
        <f aca="false">O7+Q7-P7-R7</f>
        <v>111.2</v>
      </c>
      <c r="X7" s="14" t="n">
        <f aca="false">S7+U7-T7-V7</f>
        <v>54.9</v>
      </c>
      <c r="Y7" s="14" t="n">
        <f aca="false">W7-X7</f>
        <v>56.3</v>
      </c>
      <c r="Z7" s="11" t="n">
        <f aca="false">IF(W7=0,"",Y7/W7)</f>
        <v>0.506294964028777</v>
      </c>
      <c r="AA7" s="25" t="n">
        <f aca="false">Y7*H7</f>
        <v>2815</v>
      </c>
      <c r="AB7" s="26" t="n">
        <v>2815</v>
      </c>
      <c r="AC7" s="25" t="n">
        <f aca="false">ROUND(AA7-AB7,0)</f>
        <v>0</v>
      </c>
      <c r="AD7" s="14" t="n">
        <f aca="false">0.5*W7</f>
        <v>55.6</v>
      </c>
      <c r="AE7" s="14" t="n">
        <f aca="false">-1*W7</f>
        <v>-111.2</v>
      </c>
      <c r="AF7" s="5" t="str">
        <f aca="false">IF(D7="","OPEN",IF(ROUND(Z7,4)&gt;=0.5,"TARGET",IF(ROUND(Z7,4)&lt;=-1,"STOPLOSS",IF(G7&lt;=15,"TIME","CHECK"))))</f>
        <v>TARGET</v>
      </c>
      <c r="AG7" s="5" t="str">
        <f aca="false">AF7</f>
        <v>TARGET</v>
      </c>
      <c r="AH7" s="15"/>
      <c r="AI7" s="5" t="s">
        <v>121</v>
      </c>
      <c r="AJ7" s="25" t="n">
        <f aca="false">AJ6+AB7</f>
        <v>9650</v>
      </c>
      <c r="AK7" s="25" t="n">
        <f aca="false">MAX(AK6,AJ7)</f>
        <v>9650</v>
      </c>
      <c r="AL7" s="25" t="n">
        <f aca="false">AJ7-AK7</f>
        <v>0</v>
      </c>
      <c r="AM7" s="5" t="n">
        <f aca="false">IF(AB7&gt;0,AM6+1,0)</f>
        <v>1</v>
      </c>
      <c r="AN7" s="5" t="n">
        <f aca="false">IF(AB7&lt;=0,AN6+1,0)</f>
        <v>0</v>
      </c>
    </row>
    <row r="8" customFormat="false" ht="15" hidden="false" customHeight="false" outlineLevel="0" collapsed="false">
      <c r="A8" s="5" t="n">
        <v>7</v>
      </c>
      <c r="B8" s="5" t="str">
        <f aca="false">IF(D8="","OPEN","CLOSED")</f>
        <v>CLOSED</v>
      </c>
      <c r="C8" s="21" t="n">
        <v>44389.4694444445</v>
      </c>
      <c r="D8" s="21" t="n">
        <v>44419.6361111111</v>
      </c>
      <c r="E8" s="22" t="n">
        <v>44434</v>
      </c>
      <c r="F8" s="23" t="n">
        <f aca="false">INT(E8)-INT(C8)</f>
        <v>45</v>
      </c>
      <c r="G8" s="5" t="n">
        <f aca="false">IF(D8="","",INT(E8)-INT(D8))</f>
        <v>15</v>
      </c>
      <c r="H8" s="24" t="n">
        <v>50</v>
      </c>
      <c r="I8" s="24" t="n">
        <v>16100</v>
      </c>
      <c r="J8" s="24" t="n">
        <v>16300</v>
      </c>
      <c r="K8" s="24" t="n">
        <v>15500</v>
      </c>
      <c r="L8" s="24" t="n">
        <v>15300</v>
      </c>
      <c r="M8" s="23" t="n">
        <f aca="false">J8-I8</f>
        <v>200</v>
      </c>
      <c r="N8" s="23" t="n">
        <f aca="false">K8-L8</f>
        <v>200</v>
      </c>
      <c r="O8" s="24" t="n">
        <v>140.7</v>
      </c>
      <c r="P8" s="24" t="n">
        <v>74</v>
      </c>
      <c r="Q8" s="24" t="n">
        <v>153.1</v>
      </c>
      <c r="R8" s="24" t="n">
        <v>102.5</v>
      </c>
      <c r="S8" s="24" t="n">
        <v>262.3</v>
      </c>
      <c r="T8" s="24" t="n">
        <v>134.3</v>
      </c>
      <c r="U8" s="24" t="n">
        <v>12.8</v>
      </c>
      <c r="V8" s="24" t="n">
        <v>6.9</v>
      </c>
      <c r="W8" s="14" t="n">
        <f aca="false">O8+Q8-P8-R8</f>
        <v>117.3</v>
      </c>
      <c r="X8" s="14" t="n">
        <f aca="false">S8+U8-T8-V8</f>
        <v>133.9</v>
      </c>
      <c r="Y8" s="14" t="n">
        <f aca="false">W8-X8</f>
        <v>-16.6000000000001</v>
      </c>
      <c r="Z8" s="11" t="n">
        <f aca="false">IF(W8=0,"",Y8/W8)</f>
        <v>-0.14151747655584</v>
      </c>
      <c r="AA8" s="25" t="n">
        <f aca="false">Y8*H8</f>
        <v>-830.000000000003</v>
      </c>
      <c r="AB8" s="26" t="n">
        <v>-830</v>
      </c>
      <c r="AC8" s="25" t="n">
        <f aca="false">ROUND(AA8-AB8,0)</f>
        <v>0</v>
      </c>
      <c r="AD8" s="14" t="n">
        <f aca="false">0.5*W8</f>
        <v>58.65</v>
      </c>
      <c r="AE8" s="14" t="n">
        <f aca="false">-1*W8</f>
        <v>-117.3</v>
      </c>
      <c r="AF8" s="5" t="str">
        <f aca="false">IF(D8="","OPEN",IF(ROUND(Z8,4)&gt;=0.5,"TARGET",IF(ROUND(Z8,4)&lt;=-1,"STOPLOSS",IF(G8&lt;=15,"TIME","CHECK"))))</f>
        <v>TIME</v>
      </c>
      <c r="AG8" s="5" t="str">
        <f aca="false">AF8</f>
        <v>TIME</v>
      </c>
      <c r="AH8" s="15"/>
      <c r="AI8" s="5" t="s">
        <v>121</v>
      </c>
      <c r="AJ8" s="25" t="n">
        <f aca="false">AJ7+AB8</f>
        <v>8820</v>
      </c>
      <c r="AK8" s="25" t="n">
        <f aca="false">MAX(AK7,AJ8)</f>
        <v>9650</v>
      </c>
      <c r="AL8" s="25" t="n">
        <f aca="false">AJ8-AK8</f>
        <v>-830</v>
      </c>
      <c r="AM8" s="5" t="n">
        <f aca="false">IF(AB8&gt;0,AM7+1,0)</f>
        <v>0</v>
      </c>
      <c r="AN8" s="5" t="n">
        <f aca="false">IF(AB8&lt;=0,AN7+1,0)</f>
        <v>1</v>
      </c>
    </row>
    <row r="9" customFormat="false" ht="15" hidden="false" customHeight="false" outlineLevel="0" collapsed="false">
      <c r="A9" s="5" t="n">
        <v>8</v>
      </c>
      <c r="B9" s="5" t="str">
        <f aca="false">IF(D9="","OPEN","CLOSED")</f>
        <v>CLOSED</v>
      </c>
      <c r="C9" s="21" t="n">
        <v>44424.4694444445</v>
      </c>
      <c r="D9" s="21" t="n">
        <v>44454.6361111111</v>
      </c>
      <c r="E9" s="22" t="n">
        <v>44469</v>
      </c>
      <c r="F9" s="23" t="n">
        <f aca="false">INT(E9)-INT(C9)</f>
        <v>45</v>
      </c>
      <c r="G9" s="5" t="n">
        <f aca="false">IF(D9="","",INT(E9)-INT(D9))</f>
        <v>15</v>
      </c>
      <c r="H9" s="24" t="n">
        <v>50</v>
      </c>
      <c r="I9" s="24" t="n">
        <v>16900</v>
      </c>
      <c r="J9" s="24" t="n">
        <v>17100</v>
      </c>
      <c r="K9" s="24" t="n">
        <v>16200</v>
      </c>
      <c r="L9" s="24" t="n">
        <v>16000</v>
      </c>
      <c r="M9" s="23" t="n">
        <f aca="false">J9-I9</f>
        <v>200</v>
      </c>
      <c r="N9" s="23" t="n">
        <f aca="false">K9-L9</f>
        <v>200</v>
      </c>
      <c r="O9" s="24" t="n">
        <v>122.7</v>
      </c>
      <c r="P9" s="24" t="n">
        <v>70</v>
      </c>
      <c r="Q9" s="24" t="n">
        <v>135.9</v>
      </c>
      <c r="R9" s="24" t="n">
        <v>95</v>
      </c>
      <c r="S9" s="24" t="n">
        <v>661.5</v>
      </c>
      <c r="T9" s="24" t="n">
        <v>475</v>
      </c>
      <c r="U9" s="24" t="n">
        <v>9.8</v>
      </c>
      <c r="V9" s="24" t="n">
        <v>8.9</v>
      </c>
      <c r="W9" s="14" t="n">
        <f aca="false">O9+Q9-P9-R9</f>
        <v>93.6</v>
      </c>
      <c r="X9" s="14" t="n">
        <f aca="false">S9+U9-T9-V9</f>
        <v>187.4</v>
      </c>
      <c r="Y9" s="14" t="n">
        <f aca="false">W9-X9</f>
        <v>-93.7999999999999</v>
      </c>
      <c r="Z9" s="11" t="n">
        <f aca="false">IF(W9=0,"",Y9/W9)</f>
        <v>-1.00213675213675</v>
      </c>
      <c r="AA9" s="25" t="n">
        <f aca="false">Y9*H9</f>
        <v>-4690</v>
      </c>
      <c r="AB9" s="26" t="n">
        <v>-4689</v>
      </c>
      <c r="AC9" s="25" t="n">
        <f aca="false">ROUND(AA9-AB9,0)</f>
        <v>-1</v>
      </c>
      <c r="AD9" s="14" t="n">
        <f aca="false">0.5*W9</f>
        <v>46.8</v>
      </c>
      <c r="AE9" s="14" t="n">
        <f aca="false">-1*W9</f>
        <v>-93.6</v>
      </c>
      <c r="AF9" s="5" t="str">
        <f aca="false">IF(D9="","OPEN",IF(ROUND(Z9,4)&gt;=0.5,"TARGET",IF(ROUND(Z9,4)&lt;=-1,"STOPLOSS",IF(G9&lt;=15,"TIME","CHECK"))))</f>
        <v>STOPLOSS</v>
      </c>
      <c r="AG9" s="5" t="str">
        <f aca="false">AF9</f>
        <v>STOPLOSS</v>
      </c>
      <c r="AH9" s="15"/>
      <c r="AI9" s="5" t="s">
        <v>121</v>
      </c>
      <c r="AJ9" s="25" t="n">
        <f aca="false">AJ8+AB9</f>
        <v>4131</v>
      </c>
      <c r="AK9" s="25" t="n">
        <f aca="false">MAX(AK8,AJ9)</f>
        <v>9650</v>
      </c>
      <c r="AL9" s="25" t="n">
        <f aca="false">AJ9-AK9</f>
        <v>-5519</v>
      </c>
      <c r="AM9" s="5" t="n">
        <f aca="false">IF(AB9&gt;0,AM8+1,0)</f>
        <v>0</v>
      </c>
      <c r="AN9" s="5" t="n">
        <f aca="false">IF(AB9&lt;=0,AN8+1,0)</f>
        <v>2</v>
      </c>
    </row>
    <row r="10" customFormat="false" ht="15" hidden="false" customHeight="false" outlineLevel="0" collapsed="false">
      <c r="A10" s="5" t="n">
        <v>9</v>
      </c>
      <c r="B10" s="5" t="str">
        <f aca="false">IF(D10="","OPEN","CLOSED")</f>
        <v>CLOSED</v>
      </c>
      <c r="C10" s="21" t="n">
        <v>44452.4694444445</v>
      </c>
      <c r="D10" s="21" t="n">
        <v>44482.6361111111</v>
      </c>
      <c r="E10" s="22" t="n">
        <v>44497</v>
      </c>
      <c r="F10" s="23" t="n">
        <f aca="false">INT(E10)-INT(C10)</f>
        <v>45</v>
      </c>
      <c r="G10" s="5" t="n">
        <f aca="false">IF(D10="","",INT(E10)-INT(D10))</f>
        <v>15</v>
      </c>
      <c r="H10" s="24" t="n">
        <v>50</v>
      </c>
      <c r="I10" s="24" t="n">
        <v>17750</v>
      </c>
      <c r="J10" s="24" t="n">
        <v>17950</v>
      </c>
      <c r="K10" s="24" t="n">
        <v>16950</v>
      </c>
      <c r="L10" s="24" t="n">
        <v>16750</v>
      </c>
      <c r="M10" s="23" t="n">
        <f aca="false">J10-I10</f>
        <v>200</v>
      </c>
      <c r="N10" s="23" t="n">
        <f aca="false">K10-L10</f>
        <v>200</v>
      </c>
      <c r="O10" s="24" t="n">
        <v>136.9</v>
      </c>
      <c r="P10" s="24" t="n">
        <v>86</v>
      </c>
      <c r="Q10" s="24" t="n">
        <v>160.4</v>
      </c>
      <c r="R10" s="24" t="n">
        <v>117.1</v>
      </c>
      <c r="S10" s="24" t="n">
        <v>502.4</v>
      </c>
      <c r="T10" s="24" t="n">
        <v>342.4</v>
      </c>
      <c r="U10" s="24" t="n">
        <v>18.4</v>
      </c>
      <c r="V10" s="24" t="n">
        <v>15.8</v>
      </c>
      <c r="W10" s="14" t="n">
        <f aca="false">O10+Q10-P10-R10</f>
        <v>94.2</v>
      </c>
      <c r="X10" s="14" t="n">
        <f aca="false">S10+U10-T10-V10</f>
        <v>162.6</v>
      </c>
      <c r="Y10" s="14" t="n">
        <f aca="false">W10-X10</f>
        <v>-68.4</v>
      </c>
      <c r="Z10" s="11" t="n">
        <f aca="false">IF(W10=0,"",Y10/W10)</f>
        <v>-0.726114649681528</v>
      </c>
      <c r="AA10" s="25" t="n">
        <f aca="false">Y10*H10</f>
        <v>-3420</v>
      </c>
      <c r="AB10" s="26" t="n">
        <v>-3421</v>
      </c>
      <c r="AC10" s="25" t="n">
        <f aca="false">ROUND(AA10-AB10,0)</f>
        <v>1</v>
      </c>
      <c r="AD10" s="14" t="n">
        <f aca="false">0.5*W10</f>
        <v>47.1</v>
      </c>
      <c r="AE10" s="14" t="n">
        <f aca="false">-1*W10</f>
        <v>-94.2</v>
      </c>
      <c r="AF10" s="5" t="str">
        <f aca="false">IF(D10="","OPEN",IF(ROUND(Z10,4)&gt;=0.5,"TARGET",IF(ROUND(Z10,4)&lt;=-1,"STOPLOSS",IF(G10&lt;=15,"TIME","CHECK"))))</f>
        <v>TIME</v>
      </c>
      <c r="AG10" s="5" t="str">
        <f aca="false">AF10</f>
        <v>TIME</v>
      </c>
      <c r="AH10" s="15"/>
      <c r="AI10" s="5" t="s">
        <v>122</v>
      </c>
      <c r="AJ10" s="25" t="n">
        <f aca="false">AJ9+AB10</f>
        <v>710</v>
      </c>
      <c r="AK10" s="25" t="n">
        <f aca="false">MAX(AK9,AJ10)</f>
        <v>9650</v>
      </c>
      <c r="AL10" s="25" t="n">
        <f aca="false">AJ10-AK10</f>
        <v>-8940</v>
      </c>
      <c r="AM10" s="5" t="n">
        <f aca="false">IF(AB10&gt;0,AM9+1,0)</f>
        <v>0</v>
      </c>
      <c r="AN10" s="5" t="n">
        <f aca="false">IF(AB10&lt;=0,AN9+1,0)</f>
        <v>3</v>
      </c>
    </row>
    <row r="11" customFormat="false" ht="15" hidden="false" customHeight="false" outlineLevel="0" collapsed="false">
      <c r="A11" s="5" t="n">
        <v>10</v>
      </c>
      <c r="B11" s="5" t="str">
        <f aca="false">IF(D11="","OPEN","CLOSED")</f>
        <v>CLOSED</v>
      </c>
      <c r="C11" s="21" t="n">
        <v>44480.4694444445</v>
      </c>
      <c r="D11" s="21" t="n">
        <v>44509.6361111111</v>
      </c>
      <c r="E11" s="22" t="n">
        <v>44525</v>
      </c>
      <c r="F11" s="23" t="n">
        <f aca="false">INT(E11)-INT(C11)</f>
        <v>45</v>
      </c>
      <c r="G11" s="5" t="n">
        <f aca="false">IF(D11="","",INT(E11)-INT(D11))</f>
        <v>16</v>
      </c>
      <c r="H11" s="24" t="n">
        <v>50</v>
      </c>
      <c r="I11" s="24" t="n">
        <v>18500</v>
      </c>
      <c r="J11" s="24" t="n">
        <v>18700</v>
      </c>
      <c r="K11" s="24" t="n">
        <v>17550</v>
      </c>
      <c r="L11" s="24" t="n">
        <v>17350</v>
      </c>
      <c r="M11" s="23" t="n">
        <f aca="false">J11-I11</f>
        <v>200</v>
      </c>
      <c r="N11" s="23" t="n">
        <f aca="false">K11-L11</f>
        <v>200</v>
      </c>
      <c r="O11" s="24" t="n">
        <v>189.9</v>
      </c>
      <c r="P11" s="24" t="n">
        <v>131</v>
      </c>
      <c r="Q11" s="24" t="n">
        <v>211.8</v>
      </c>
      <c r="R11" s="24" t="n">
        <v>153.6</v>
      </c>
      <c r="S11" s="24" t="n">
        <v>66.5</v>
      </c>
      <c r="T11" s="24" t="n">
        <v>33.6</v>
      </c>
      <c r="U11" s="24" t="n">
        <v>58.2</v>
      </c>
      <c r="V11" s="24" t="n">
        <v>34.2</v>
      </c>
      <c r="W11" s="14" t="n">
        <f aca="false">O11+Q11-P11-R11</f>
        <v>117.1</v>
      </c>
      <c r="X11" s="14" t="n">
        <f aca="false">S11+U11-T11-V11</f>
        <v>56.9</v>
      </c>
      <c r="Y11" s="14" t="n">
        <f aca="false">W11-X11</f>
        <v>60.2000000000001</v>
      </c>
      <c r="Z11" s="11" t="n">
        <f aca="false">IF(W11=0,"",Y11/W11)</f>
        <v>0.514090520922289</v>
      </c>
      <c r="AA11" s="25" t="n">
        <f aca="false">Y11*H11</f>
        <v>3010</v>
      </c>
      <c r="AB11" s="26" t="n">
        <v>3010</v>
      </c>
      <c r="AC11" s="25" t="n">
        <f aca="false">ROUND(AA11-AB11,0)</f>
        <v>0</v>
      </c>
      <c r="AD11" s="14" t="n">
        <f aca="false">0.5*W11</f>
        <v>58.55</v>
      </c>
      <c r="AE11" s="14" t="n">
        <f aca="false">-1*W11</f>
        <v>-117.1</v>
      </c>
      <c r="AF11" s="5" t="str">
        <f aca="false">IF(D11="","OPEN",IF(ROUND(Z11,4)&gt;=0.5,"TARGET",IF(ROUND(Z11,4)&lt;=-1,"STOPLOSS",IF(G11&lt;=15,"TIME","CHECK"))))</f>
        <v>TARGET</v>
      </c>
      <c r="AG11" s="5" t="str">
        <f aca="false">AF11</f>
        <v>TARGET</v>
      </c>
      <c r="AH11" s="15"/>
      <c r="AI11" s="5" t="s">
        <v>122</v>
      </c>
      <c r="AJ11" s="25" t="n">
        <f aca="false">AJ10+AB11</f>
        <v>3720</v>
      </c>
      <c r="AK11" s="25" t="n">
        <f aca="false">MAX(AK10,AJ11)</f>
        <v>9650</v>
      </c>
      <c r="AL11" s="25" t="n">
        <f aca="false">AJ11-AK11</f>
        <v>-5930</v>
      </c>
      <c r="AM11" s="5" t="n">
        <f aca="false">IF(AB11&gt;0,AM10+1,0)</f>
        <v>1</v>
      </c>
      <c r="AN11" s="5" t="n">
        <f aca="false">IF(AB11&lt;=0,AN10+1,0)</f>
        <v>0</v>
      </c>
    </row>
    <row r="12" customFormat="false" ht="15" hidden="false" customHeight="false" outlineLevel="0" collapsed="false">
      <c r="A12" s="5" t="n">
        <v>11</v>
      </c>
      <c r="B12" s="5" t="str">
        <f aca="false">IF(D12="","OPEN","CLOSED")</f>
        <v>CLOSED</v>
      </c>
      <c r="C12" s="21" t="n">
        <v>44515.4694444445</v>
      </c>
      <c r="D12" s="21" t="n">
        <v>44545.6361111111</v>
      </c>
      <c r="E12" s="22" t="n">
        <v>44560</v>
      </c>
      <c r="F12" s="23" t="n">
        <f aca="false">INT(E12)-INT(C12)</f>
        <v>45</v>
      </c>
      <c r="G12" s="5" t="n">
        <f aca="false">IF(D12="","",INT(E12)-INT(D12))</f>
        <v>15</v>
      </c>
      <c r="H12" s="24" t="n">
        <v>50</v>
      </c>
      <c r="I12" s="24" t="n">
        <v>18700</v>
      </c>
      <c r="J12" s="24" t="n">
        <v>18900</v>
      </c>
      <c r="K12" s="24" t="n">
        <v>17750</v>
      </c>
      <c r="L12" s="24" t="n">
        <v>17550</v>
      </c>
      <c r="M12" s="23" t="n">
        <f aca="false">J12-I12</f>
        <v>200</v>
      </c>
      <c r="N12" s="23" t="n">
        <f aca="false">K12-L12</f>
        <v>200</v>
      </c>
      <c r="O12" s="24" t="n">
        <v>147.1</v>
      </c>
      <c r="P12" s="24" t="n">
        <v>94.7</v>
      </c>
      <c r="Q12" s="24" t="n">
        <v>167.3</v>
      </c>
      <c r="R12" s="24" t="n">
        <v>121.5</v>
      </c>
      <c r="S12" s="24" t="n">
        <v>4.8</v>
      </c>
      <c r="T12" s="24" t="n">
        <v>4.1</v>
      </c>
      <c r="U12" s="24" t="n">
        <v>550</v>
      </c>
      <c r="V12" s="24" t="n">
        <v>403.6</v>
      </c>
      <c r="W12" s="14" t="n">
        <f aca="false">O12+Q12-P12-R12</f>
        <v>98.2</v>
      </c>
      <c r="X12" s="14" t="n">
        <f aca="false">S12+U12-T12-V12</f>
        <v>147.1</v>
      </c>
      <c r="Y12" s="14" t="n">
        <f aca="false">W12-X12</f>
        <v>-48.8999999999999</v>
      </c>
      <c r="Z12" s="11" t="n">
        <f aca="false">IF(W12=0,"",Y12/W12)</f>
        <v>-0.497963340122199</v>
      </c>
      <c r="AA12" s="25" t="n">
        <f aca="false">Y12*H12</f>
        <v>-2445</v>
      </c>
      <c r="AB12" s="26" t="n">
        <v>-2445</v>
      </c>
      <c r="AC12" s="25" t="n">
        <f aca="false">ROUND(AA12-AB12,0)</f>
        <v>0</v>
      </c>
      <c r="AD12" s="14" t="n">
        <f aca="false">0.5*W12</f>
        <v>49.1</v>
      </c>
      <c r="AE12" s="14" t="n">
        <f aca="false">-1*W12</f>
        <v>-98.2</v>
      </c>
      <c r="AF12" s="5" t="str">
        <f aca="false">IF(D12="","OPEN",IF(ROUND(Z12,4)&gt;=0.5,"TARGET",IF(ROUND(Z12,4)&lt;=-1,"STOPLOSS",IF(G12&lt;=15,"TIME","CHECK"))))</f>
        <v>TIME</v>
      </c>
      <c r="AG12" s="5" t="str">
        <f aca="false">AF12</f>
        <v>TIME</v>
      </c>
      <c r="AH12" s="15"/>
      <c r="AI12" s="5" t="s">
        <v>121</v>
      </c>
      <c r="AJ12" s="25" t="n">
        <f aca="false">AJ11+AB12</f>
        <v>1275</v>
      </c>
      <c r="AK12" s="25" t="n">
        <f aca="false">MAX(AK11,AJ12)</f>
        <v>9650</v>
      </c>
      <c r="AL12" s="25" t="n">
        <f aca="false">AJ12-AK12</f>
        <v>-8375</v>
      </c>
      <c r="AM12" s="5" t="n">
        <f aca="false">IF(AB12&gt;0,AM11+1,0)</f>
        <v>0</v>
      </c>
      <c r="AN12" s="5" t="n">
        <f aca="false">IF(AB12&lt;=0,AN11+1,0)</f>
        <v>1</v>
      </c>
    </row>
    <row r="13" customFormat="false" ht="15" hidden="false" customHeight="false" outlineLevel="0" collapsed="false">
      <c r="A13" s="5" t="n">
        <v>12</v>
      </c>
      <c r="B13" s="5" t="str">
        <f aca="false">IF(D13="","OPEN","CLOSED")</f>
        <v>CLOSED</v>
      </c>
      <c r="C13" s="21" t="n">
        <v>44543.4694444445</v>
      </c>
      <c r="D13" s="21" t="n">
        <v>44573.6361111111</v>
      </c>
      <c r="E13" s="22" t="n">
        <v>44588</v>
      </c>
      <c r="F13" s="23" t="n">
        <f aca="false">INT(E13)-INT(C13)</f>
        <v>45</v>
      </c>
      <c r="G13" s="5" t="n">
        <f aca="false">IF(D13="","",INT(E13)-INT(D13))</f>
        <v>15</v>
      </c>
      <c r="H13" s="24" t="n">
        <v>50</v>
      </c>
      <c r="I13" s="24" t="n">
        <v>18100</v>
      </c>
      <c r="J13" s="24" t="n">
        <v>18300</v>
      </c>
      <c r="K13" s="24" t="n">
        <v>17200</v>
      </c>
      <c r="L13" s="24" t="n">
        <v>17000</v>
      </c>
      <c r="M13" s="23" t="n">
        <f aca="false">J13-I13</f>
        <v>200</v>
      </c>
      <c r="N13" s="23" t="n">
        <f aca="false">K13-L13</f>
        <v>200</v>
      </c>
      <c r="O13" s="24" t="n">
        <v>159.8</v>
      </c>
      <c r="P13" s="24" t="n">
        <v>103.3</v>
      </c>
      <c r="Q13" s="24" t="n">
        <v>185.5</v>
      </c>
      <c r="R13" s="24" t="n">
        <v>140.1</v>
      </c>
      <c r="S13" s="24" t="n">
        <v>297.1</v>
      </c>
      <c r="T13" s="24" t="n">
        <v>182</v>
      </c>
      <c r="U13" s="24" t="n">
        <v>20.9</v>
      </c>
      <c r="V13" s="24" t="n">
        <v>14.9</v>
      </c>
      <c r="W13" s="14" t="n">
        <f aca="false">O13+Q13-P13-R13</f>
        <v>101.9</v>
      </c>
      <c r="X13" s="14" t="n">
        <f aca="false">S13+U13-T13-V13</f>
        <v>121.1</v>
      </c>
      <c r="Y13" s="14" t="n">
        <f aca="false">W13-X13</f>
        <v>-19.2</v>
      </c>
      <c r="Z13" s="11" t="n">
        <f aca="false">IF(W13=0,"",Y13/W13)</f>
        <v>-0.188420019627085</v>
      </c>
      <c r="AA13" s="25" t="n">
        <f aca="false">Y13*H13</f>
        <v>-959.999999999999</v>
      </c>
      <c r="AB13" s="26" t="n">
        <v>-960</v>
      </c>
      <c r="AC13" s="25" t="n">
        <f aca="false">ROUND(AA13-AB13,0)</f>
        <v>0</v>
      </c>
      <c r="AD13" s="14" t="n">
        <f aca="false">0.5*W13</f>
        <v>50.95</v>
      </c>
      <c r="AE13" s="14" t="n">
        <f aca="false">-1*W13</f>
        <v>-101.9</v>
      </c>
      <c r="AF13" s="5" t="str">
        <f aca="false">IF(D13="","OPEN",IF(ROUND(Z13,4)&gt;=0.5,"TARGET",IF(ROUND(Z13,4)&lt;=-1,"STOPLOSS",IF(G13&lt;=15,"TIME","CHECK"))))</f>
        <v>TIME</v>
      </c>
      <c r="AG13" s="5" t="str">
        <f aca="false">AF13</f>
        <v>TIME</v>
      </c>
      <c r="AH13" s="15"/>
      <c r="AI13" s="5" t="s">
        <v>122</v>
      </c>
      <c r="AJ13" s="25" t="n">
        <f aca="false">AJ12+AB13</f>
        <v>315</v>
      </c>
      <c r="AK13" s="25" t="n">
        <f aca="false">MAX(AK12,AJ13)</f>
        <v>9650</v>
      </c>
      <c r="AL13" s="25" t="n">
        <f aca="false">AJ13-AK13</f>
        <v>-9335</v>
      </c>
      <c r="AM13" s="5" t="n">
        <f aca="false">IF(AB13&gt;0,AM12+1,0)</f>
        <v>0</v>
      </c>
      <c r="AN13" s="5" t="n">
        <f aca="false">IF(AB13&lt;=0,AN12+1,0)</f>
        <v>2</v>
      </c>
    </row>
    <row r="14" customFormat="false" ht="15" hidden="false" customHeight="false" outlineLevel="0" collapsed="false">
      <c r="A14" s="5" t="n">
        <v>13</v>
      </c>
      <c r="B14" s="5" t="str">
        <f aca="false">IF(D14="","OPEN","CLOSED")</f>
        <v>CLOSED</v>
      </c>
      <c r="C14" s="21" t="n">
        <v>44571.4694444445</v>
      </c>
      <c r="D14" s="21" t="n">
        <v>44601.6361111111</v>
      </c>
      <c r="E14" s="22" t="n">
        <v>44616</v>
      </c>
      <c r="F14" s="23" t="n">
        <f aca="false">INT(E14)-INT(C14)</f>
        <v>45</v>
      </c>
      <c r="G14" s="5" t="n">
        <f aca="false">IF(D14="","",INT(E14)-INT(D14))</f>
        <v>15</v>
      </c>
      <c r="H14" s="24" t="n">
        <v>50</v>
      </c>
      <c r="I14" s="24" t="n">
        <v>18650</v>
      </c>
      <c r="J14" s="24" t="n">
        <v>18850</v>
      </c>
      <c r="K14" s="24" t="n">
        <v>17450</v>
      </c>
      <c r="L14" s="24" t="n">
        <v>17250</v>
      </c>
      <c r="M14" s="23" t="n">
        <f aca="false">J14-I14</f>
        <v>200</v>
      </c>
      <c r="N14" s="23" t="n">
        <f aca="false">K14-L14</f>
        <v>200</v>
      </c>
      <c r="O14" s="24" t="n">
        <v>197.3</v>
      </c>
      <c r="P14" s="24" t="n">
        <v>144.2</v>
      </c>
      <c r="Q14" s="24" t="n">
        <v>236.4</v>
      </c>
      <c r="R14" s="24" t="n">
        <v>186.7</v>
      </c>
      <c r="S14" s="24" t="n">
        <v>8.1</v>
      </c>
      <c r="T14" s="24" t="n">
        <v>5.8</v>
      </c>
      <c r="U14" s="24" t="n">
        <v>214.6</v>
      </c>
      <c r="V14" s="24" t="n">
        <v>134.8</v>
      </c>
      <c r="W14" s="14" t="n">
        <f aca="false">O14+Q14-P14-R14</f>
        <v>102.8</v>
      </c>
      <c r="X14" s="14" t="n">
        <f aca="false">S14+U14-T14-V14</f>
        <v>82.1</v>
      </c>
      <c r="Y14" s="14" t="n">
        <f aca="false">W14-X14</f>
        <v>20.7000000000001</v>
      </c>
      <c r="Z14" s="11" t="n">
        <f aca="false">IF(W14=0,"",Y14/W14)</f>
        <v>0.201361867704281</v>
      </c>
      <c r="AA14" s="25" t="n">
        <f aca="false">Y14*H14</f>
        <v>1035.00000000001</v>
      </c>
      <c r="AB14" s="26" t="n">
        <v>1035</v>
      </c>
      <c r="AC14" s="25" t="n">
        <f aca="false">ROUND(AA14-AB14,0)</f>
        <v>0</v>
      </c>
      <c r="AD14" s="14" t="n">
        <f aca="false">0.5*W14</f>
        <v>51.4</v>
      </c>
      <c r="AE14" s="14" t="n">
        <f aca="false">-1*W14</f>
        <v>-102.8</v>
      </c>
      <c r="AF14" s="5" t="str">
        <f aca="false">IF(D14="","OPEN",IF(ROUND(Z14,4)&gt;=0.5,"TARGET",IF(ROUND(Z14,4)&lt;=-1,"STOPLOSS",IF(G14&lt;=15,"TIME","CHECK"))))</f>
        <v>TIME</v>
      </c>
      <c r="AG14" s="5" t="str">
        <f aca="false">AF14</f>
        <v>TIME</v>
      </c>
      <c r="AH14" s="15"/>
      <c r="AI14" s="5" t="s">
        <v>122</v>
      </c>
      <c r="AJ14" s="25" t="n">
        <f aca="false">AJ13+AB14</f>
        <v>1350</v>
      </c>
      <c r="AK14" s="25" t="n">
        <f aca="false">MAX(AK13,AJ14)</f>
        <v>9650</v>
      </c>
      <c r="AL14" s="25" t="n">
        <f aca="false">AJ14-AK14</f>
        <v>-8300</v>
      </c>
      <c r="AM14" s="5" t="n">
        <f aca="false">IF(AB14&gt;0,AM13+1,0)</f>
        <v>1</v>
      </c>
      <c r="AN14" s="5" t="n">
        <f aca="false">IF(AB14&lt;=0,AN13+1,0)</f>
        <v>0</v>
      </c>
    </row>
    <row r="15" customFormat="false" ht="15" hidden="false" customHeight="false" outlineLevel="0" collapsed="false">
      <c r="A15" s="5" t="n">
        <v>14</v>
      </c>
      <c r="B15" s="5" t="str">
        <f aca="false">IF(D15="","OPEN","CLOSED")</f>
        <v>CLOSED</v>
      </c>
      <c r="C15" s="21" t="n">
        <v>44606.4694444445</v>
      </c>
      <c r="D15" s="21" t="n">
        <v>44636.6361111111</v>
      </c>
      <c r="E15" s="22" t="n">
        <v>44651</v>
      </c>
      <c r="F15" s="23" t="n">
        <f aca="false">INT(E15)-INT(C15)</f>
        <v>45</v>
      </c>
      <c r="G15" s="5" t="n">
        <f aca="false">IF(D15="","",INT(E15)-INT(D15))</f>
        <v>15</v>
      </c>
      <c r="H15" s="24" t="n">
        <v>50</v>
      </c>
      <c r="I15" s="24" t="n">
        <v>17700</v>
      </c>
      <c r="J15" s="24" t="n">
        <v>17900</v>
      </c>
      <c r="K15" s="24" t="n">
        <v>16500</v>
      </c>
      <c r="L15" s="24" t="n">
        <v>16300</v>
      </c>
      <c r="M15" s="23" t="n">
        <f aca="false">J15-I15</f>
        <v>200</v>
      </c>
      <c r="N15" s="23" t="n">
        <f aca="false">K15-L15</f>
        <v>200</v>
      </c>
      <c r="O15" s="24" t="n">
        <v>203</v>
      </c>
      <c r="P15" s="24" t="n">
        <v>149.7</v>
      </c>
      <c r="Q15" s="24" t="n">
        <v>254.5</v>
      </c>
      <c r="R15" s="24" t="n">
        <v>199.3</v>
      </c>
      <c r="S15" s="24" t="n">
        <v>74.3</v>
      </c>
      <c r="T15" s="24" t="n">
        <v>41.4</v>
      </c>
      <c r="U15" s="24" t="n">
        <v>162.1</v>
      </c>
      <c r="V15" s="24" t="n">
        <v>119.8</v>
      </c>
      <c r="W15" s="14" t="n">
        <f aca="false">O15+Q15-P15-R15</f>
        <v>108.5</v>
      </c>
      <c r="X15" s="14" t="n">
        <f aca="false">S15+U15-T15-V15</f>
        <v>75.2</v>
      </c>
      <c r="Y15" s="14" t="n">
        <f aca="false">W15-X15</f>
        <v>33.3</v>
      </c>
      <c r="Z15" s="11" t="n">
        <f aca="false">IF(W15=0,"",Y15/W15)</f>
        <v>0.306912442396314</v>
      </c>
      <c r="AA15" s="25" t="n">
        <f aca="false">Y15*H15</f>
        <v>1665</v>
      </c>
      <c r="AB15" s="26" t="n">
        <v>1664</v>
      </c>
      <c r="AC15" s="25" t="n">
        <f aca="false">ROUND(AA15-AB15,0)</f>
        <v>1</v>
      </c>
      <c r="AD15" s="14" t="n">
        <f aca="false">0.5*W15</f>
        <v>54.25</v>
      </c>
      <c r="AE15" s="14" t="n">
        <f aca="false">-1*W15</f>
        <v>-108.5</v>
      </c>
      <c r="AF15" s="5" t="str">
        <f aca="false">IF(D15="","OPEN",IF(ROUND(Z15,4)&gt;=0.5,"TARGET",IF(ROUND(Z15,4)&lt;=-1,"STOPLOSS",IF(G15&lt;=15,"TIME","CHECK"))))</f>
        <v>TIME</v>
      </c>
      <c r="AG15" s="5" t="str">
        <f aca="false">AF15</f>
        <v>TIME</v>
      </c>
      <c r="AH15" s="15"/>
      <c r="AI15" s="5" t="s">
        <v>121</v>
      </c>
      <c r="AJ15" s="25" t="n">
        <f aca="false">AJ14+AB15</f>
        <v>3014</v>
      </c>
      <c r="AK15" s="25" t="n">
        <f aca="false">MAX(AK14,AJ15)</f>
        <v>9650</v>
      </c>
      <c r="AL15" s="25" t="n">
        <f aca="false">AJ15-AK15</f>
        <v>-6636</v>
      </c>
      <c r="AM15" s="5" t="n">
        <f aca="false">IF(AB15&gt;0,AM14+1,0)</f>
        <v>2</v>
      </c>
      <c r="AN15" s="5" t="n">
        <f aca="false">IF(AB15&lt;=0,AN14+1,0)</f>
        <v>0</v>
      </c>
    </row>
    <row r="16" customFormat="false" ht="15" hidden="false" customHeight="false" outlineLevel="0" collapsed="false">
      <c r="A16" s="5" t="n">
        <v>15</v>
      </c>
      <c r="B16" s="5" t="str">
        <f aca="false">IF(D16="","OPEN","CLOSED")</f>
        <v>CLOSED</v>
      </c>
      <c r="C16" s="21" t="n">
        <v>44634.4694444445</v>
      </c>
      <c r="D16" s="21" t="n">
        <v>44664.6361111111</v>
      </c>
      <c r="E16" s="22" t="n">
        <v>44679</v>
      </c>
      <c r="F16" s="23" t="n">
        <f aca="false">INT(E16)-INT(C16)</f>
        <v>45</v>
      </c>
      <c r="G16" s="5" t="n">
        <f aca="false">IF(D16="","",INT(E16)-INT(D16))</f>
        <v>15</v>
      </c>
      <c r="H16" s="24" t="n">
        <v>50</v>
      </c>
      <c r="I16" s="24" t="n">
        <v>17500</v>
      </c>
      <c r="J16" s="24" t="n">
        <v>17700</v>
      </c>
      <c r="K16" s="24" t="n">
        <v>16000</v>
      </c>
      <c r="L16" s="24" t="n">
        <v>15800</v>
      </c>
      <c r="M16" s="23" t="n">
        <f aca="false">J16-I16</f>
        <v>200</v>
      </c>
      <c r="N16" s="23" t="n">
        <f aca="false">K16-L16</f>
        <v>200</v>
      </c>
      <c r="O16" s="24" t="n">
        <v>228</v>
      </c>
      <c r="P16" s="24" t="n">
        <v>169.9</v>
      </c>
      <c r="Q16" s="24" t="n">
        <v>299.6</v>
      </c>
      <c r="R16" s="24" t="n">
        <v>259.6</v>
      </c>
      <c r="S16" s="24" t="n">
        <v>225.8</v>
      </c>
      <c r="T16" s="24" t="n">
        <v>131.8</v>
      </c>
      <c r="U16" s="24" t="n">
        <v>8.1</v>
      </c>
      <c r="V16" s="24" t="n">
        <v>6.5</v>
      </c>
      <c r="W16" s="14" t="n">
        <f aca="false">O16+Q16-P16-R16</f>
        <v>98.1</v>
      </c>
      <c r="X16" s="14" t="n">
        <f aca="false">S16+U16-T16-V16</f>
        <v>95.6</v>
      </c>
      <c r="Y16" s="14" t="n">
        <f aca="false">W16-X16</f>
        <v>2.50000000000003</v>
      </c>
      <c r="Z16" s="11" t="n">
        <f aca="false">IF(W16=0,"",Y16/W16)</f>
        <v>0.0254841997961267</v>
      </c>
      <c r="AA16" s="25" t="n">
        <f aca="false">Y16*H16</f>
        <v>125.000000000001</v>
      </c>
      <c r="AB16" s="26" t="n">
        <v>125</v>
      </c>
      <c r="AC16" s="25" t="n">
        <f aca="false">ROUND(AA16-AB16,0)</f>
        <v>0</v>
      </c>
      <c r="AD16" s="14" t="n">
        <f aca="false">0.5*W16</f>
        <v>49.05</v>
      </c>
      <c r="AE16" s="14" t="n">
        <f aca="false">-1*W16</f>
        <v>-98.1</v>
      </c>
      <c r="AF16" s="5" t="str">
        <f aca="false">IF(D16="","OPEN",IF(ROUND(Z16,4)&gt;=0.5,"TARGET",IF(ROUND(Z16,4)&lt;=-1,"STOPLOSS",IF(G16&lt;=15,"TIME","CHECK"))))</f>
        <v>TIME</v>
      </c>
      <c r="AG16" s="5" t="str">
        <f aca="false">AF16</f>
        <v>TIME</v>
      </c>
      <c r="AH16" s="15"/>
      <c r="AI16" s="5" t="s">
        <v>122</v>
      </c>
      <c r="AJ16" s="25" t="n">
        <f aca="false">AJ15+AB16</f>
        <v>3139</v>
      </c>
      <c r="AK16" s="25" t="n">
        <f aca="false">MAX(AK15,AJ16)</f>
        <v>9650</v>
      </c>
      <c r="AL16" s="25" t="n">
        <f aca="false">AJ16-AK16</f>
        <v>-6511</v>
      </c>
      <c r="AM16" s="5" t="n">
        <f aca="false">IF(AB16&gt;0,AM15+1,0)</f>
        <v>3</v>
      </c>
      <c r="AN16" s="5" t="n">
        <f aca="false">IF(AB16&lt;=0,AN15+1,0)</f>
        <v>0</v>
      </c>
    </row>
    <row r="17" customFormat="false" ht="15" hidden="false" customHeight="false" outlineLevel="0" collapsed="false">
      <c r="A17" s="5" t="n">
        <v>16</v>
      </c>
      <c r="B17" s="5" t="str">
        <f aca="false">IF(D17="","OPEN","CLOSED")</f>
        <v>CLOSED</v>
      </c>
      <c r="C17" s="21" t="n">
        <v>44662.4694444445</v>
      </c>
      <c r="D17" s="21" t="n">
        <v>44692.6361111111</v>
      </c>
      <c r="E17" s="22" t="n">
        <v>44707</v>
      </c>
      <c r="F17" s="23" t="n">
        <f aca="false">INT(E17)-INT(C17)</f>
        <v>45</v>
      </c>
      <c r="G17" s="5" t="n">
        <f aca="false">IF(D17="","",INT(E17)-INT(D17))</f>
        <v>15</v>
      </c>
      <c r="H17" s="24" t="n">
        <v>50</v>
      </c>
      <c r="I17" s="24" t="n">
        <v>18300</v>
      </c>
      <c r="J17" s="24" t="n">
        <v>18500</v>
      </c>
      <c r="K17" s="24" t="n">
        <v>17200</v>
      </c>
      <c r="L17" s="24" t="n">
        <v>17000</v>
      </c>
      <c r="M17" s="23" t="n">
        <f aca="false">J17-I17</f>
        <v>200</v>
      </c>
      <c r="N17" s="23" t="n">
        <f aca="false">K17-L17</f>
        <v>200</v>
      </c>
      <c r="O17" s="24" t="n">
        <v>208.4</v>
      </c>
      <c r="P17" s="24" t="n">
        <v>154</v>
      </c>
      <c r="Q17" s="24" t="n">
        <v>236.7</v>
      </c>
      <c r="R17" s="24" t="n">
        <v>187.4</v>
      </c>
      <c r="S17" s="24" t="n">
        <v>4.2</v>
      </c>
      <c r="T17" s="24" t="n">
        <v>3.7</v>
      </c>
      <c r="U17" s="24" t="n">
        <v>1049.8</v>
      </c>
      <c r="V17" s="24" t="n">
        <v>862.9</v>
      </c>
      <c r="W17" s="14" t="n">
        <f aca="false">O17+Q17-P17-R17</f>
        <v>103.7</v>
      </c>
      <c r="X17" s="14" t="n">
        <f aca="false">S17+U17-T17-V17</f>
        <v>187.4</v>
      </c>
      <c r="Y17" s="14" t="n">
        <f aca="false">W17-X17</f>
        <v>-83.7</v>
      </c>
      <c r="Z17" s="11" t="n">
        <f aca="false">IF(W17=0,"",Y17/W17)</f>
        <v>-0.807135969141755</v>
      </c>
      <c r="AA17" s="25" t="n">
        <f aca="false">Y17*H17</f>
        <v>-4185</v>
      </c>
      <c r="AB17" s="26" t="n">
        <v>-4185</v>
      </c>
      <c r="AC17" s="25" t="n">
        <f aca="false">ROUND(AA17-AB17,0)</f>
        <v>0</v>
      </c>
      <c r="AD17" s="14" t="n">
        <f aca="false">0.5*W17</f>
        <v>51.85</v>
      </c>
      <c r="AE17" s="14" t="n">
        <f aca="false">-1*W17</f>
        <v>-103.7</v>
      </c>
      <c r="AF17" s="5" t="str">
        <f aca="false">IF(D17="","OPEN",IF(ROUND(Z17,4)&gt;=0.5,"TARGET",IF(ROUND(Z17,4)&lt;=-1,"STOPLOSS",IF(G17&lt;=15,"TIME","CHECK"))))</f>
        <v>TIME</v>
      </c>
      <c r="AG17" s="5" t="str">
        <f aca="false">AF17</f>
        <v>TIME</v>
      </c>
      <c r="AH17" s="15"/>
      <c r="AI17" s="5" t="s">
        <v>122</v>
      </c>
      <c r="AJ17" s="25" t="n">
        <f aca="false">AJ16+AB17</f>
        <v>-1046</v>
      </c>
      <c r="AK17" s="25" t="n">
        <f aca="false">MAX(AK16,AJ17)</f>
        <v>9650</v>
      </c>
      <c r="AL17" s="25" t="n">
        <f aca="false">AJ17-AK17</f>
        <v>-10696</v>
      </c>
      <c r="AM17" s="5" t="n">
        <f aca="false">IF(AB17&gt;0,AM16+1,0)</f>
        <v>0</v>
      </c>
      <c r="AN17" s="5" t="n">
        <f aca="false">IF(AB17&lt;=0,AN16+1,0)</f>
        <v>1</v>
      </c>
    </row>
    <row r="18" customFormat="false" ht="15" hidden="false" customHeight="false" outlineLevel="0" collapsed="false">
      <c r="A18" s="5" t="n">
        <v>17</v>
      </c>
      <c r="B18" s="5" t="str">
        <f aca="false">IF(D18="","OPEN","CLOSED")</f>
        <v>CLOSED</v>
      </c>
      <c r="C18" s="21" t="n">
        <v>44697.4694444445</v>
      </c>
      <c r="D18" s="21" t="n">
        <v>44727.6361111111</v>
      </c>
      <c r="E18" s="22" t="n">
        <v>44742</v>
      </c>
      <c r="F18" s="23" t="n">
        <f aca="false">INT(E18)-INT(C18)</f>
        <v>45</v>
      </c>
      <c r="G18" s="5" t="n">
        <f aca="false">IF(D18="","",INT(E18)-INT(D18))</f>
        <v>15</v>
      </c>
      <c r="H18" s="24" t="n">
        <v>50</v>
      </c>
      <c r="I18" s="24" t="n">
        <v>16500</v>
      </c>
      <c r="J18" s="24" t="n">
        <v>16700</v>
      </c>
      <c r="K18" s="24" t="n">
        <v>15300</v>
      </c>
      <c r="L18" s="24" t="n">
        <v>15100</v>
      </c>
      <c r="M18" s="23" t="n">
        <f aca="false">J18-I18</f>
        <v>200</v>
      </c>
      <c r="N18" s="23" t="n">
        <f aca="false">K18-L18</f>
        <v>200</v>
      </c>
      <c r="O18" s="24" t="n">
        <v>227</v>
      </c>
      <c r="P18" s="24" t="n">
        <v>166.2</v>
      </c>
      <c r="Q18" s="24" t="n">
        <v>249.7</v>
      </c>
      <c r="R18" s="24" t="n">
        <v>199.5</v>
      </c>
      <c r="S18" s="24" t="n">
        <v>41.1</v>
      </c>
      <c r="T18" s="24" t="n">
        <v>22.9</v>
      </c>
      <c r="U18" s="24" t="n">
        <v>141.3</v>
      </c>
      <c r="V18" s="24" t="n">
        <v>96.7</v>
      </c>
      <c r="W18" s="14" t="n">
        <f aca="false">O18+Q18-P18-R18</f>
        <v>111</v>
      </c>
      <c r="X18" s="14" t="n">
        <f aca="false">S18+U18-T18-V18</f>
        <v>62.8</v>
      </c>
      <c r="Y18" s="14" t="n">
        <f aca="false">W18-X18</f>
        <v>48.2</v>
      </c>
      <c r="Z18" s="11" t="n">
        <f aca="false">IF(W18=0,"",Y18/W18)</f>
        <v>0.434234234234234</v>
      </c>
      <c r="AA18" s="25" t="n">
        <f aca="false">Y18*H18</f>
        <v>2410</v>
      </c>
      <c r="AB18" s="26" t="n">
        <v>2410</v>
      </c>
      <c r="AC18" s="25" t="n">
        <f aca="false">ROUND(AA18-AB18,0)</f>
        <v>0</v>
      </c>
      <c r="AD18" s="14" t="n">
        <f aca="false">0.5*W18</f>
        <v>55.5</v>
      </c>
      <c r="AE18" s="14" t="n">
        <f aca="false">-1*W18</f>
        <v>-111</v>
      </c>
      <c r="AF18" s="5" t="str">
        <f aca="false">IF(D18="","OPEN",IF(ROUND(Z18,4)&gt;=0.5,"TARGET",IF(ROUND(Z18,4)&lt;=-1,"STOPLOSS",IF(G18&lt;=15,"TIME","CHECK"))))</f>
        <v>TIME</v>
      </c>
      <c r="AG18" s="5" t="str">
        <f aca="false">AF18</f>
        <v>TIME</v>
      </c>
      <c r="AH18" s="15"/>
      <c r="AI18" s="5" t="s">
        <v>121</v>
      </c>
      <c r="AJ18" s="25" t="n">
        <f aca="false">AJ17+AB18</f>
        <v>1364</v>
      </c>
      <c r="AK18" s="25" t="n">
        <f aca="false">MAX(AK17,AJ18)</f>
        <v>9650</v>
      </c>
      <c r="AL18" s="25" t="n">
        <f aca="false">AJ18-AK18</f>
        <v>-8286</v>
      </c>
      <c r="AM18" s="5" t="n">
        <f aca="false">IF(AB18&gt;0,AM17+1,0)</f>
        <v>1</v>
      </c>
      <c r="AN18" s="5" t="n">
        <f aca="false">IF(AB18&lt;=0,AN17+1,0)</f>
        <v>0</v>
      </c>
    </row>
    <row r="19" customFormat="false" ht="15" hidden="false" customHeight="false" outlineLevel="0" collapsed="false">
      <c r="A19" s="5" t="n">
        <v>18</v>
      </c>
      <c r="B19" s="5" t="str">
        <f aca="false">IF(D19="","OPEN","CLOSED")</f>
        <v>CLOSED</v>
      </c>
      <c r="C19" s="21" t="n">
        <v>44725.4694444445</v>
      </c>
      <c r="D19" s="21" t="n">
        <v>44755.6361111111</v>
      </c>
      <c r="E19" s="22" t="n">
        <v>44770</v>
      </c>
      <c r="F19" s="23" t="n">
        <f aca="false">INT(E19)-INT(C19)</f>
        <v>45</v>
      </c>
      <c r="G19" s="5" t="n">
        <f aca="false">IF(D19="","",INT(E19)-INT(D19))</f>
        <v>15</v>
      </c>
      <c r="H19" s="24" t="n">
        <v>50</v>
      </c>
      <c r="I19" s="24" t="n">
        <v>16450</v>
      </c>
      <c r="J19" s="24" t="n">
        <v>16650</v>
      </c>
      <c r="K19" s="24" t="n">
        <v>15250</v>
      </c>
      <c r="L19" s="24" t="n">
        <v>15050</v>
      </c>
      <c r="M19" s="23" t="n">
        <f aca="false">J19-I19</f>
        <v>200</v>
      </c>
      <c r="N19" s="23" t="n">
        <f aca="false">K19-L19</f>
        <v>200</v>
      </c>
      <c r="O19" s="24" t="n">
        <v>201</v>
      </c>
      <c r="P19" s="24" t="n">
        <v>147.8</v>
      </c>
      <c r="Q19" s="24" t="n">
        <v>236.3</v>
      </c>
      <c r="R19" s="24" t="n">
        <v>186.1</v>
      </c>
      <c r="S19" s="24" t="n">
        <v>55.1</v>
      </c>
      <c r="T19" s="24" t="n">
        <v>24.6</v>
      </c>
      <c r="U19" s="24" t="n">
        <v>45.9</v>
      </c>
      <c r="V19" s="24" t="n">
        <v>29.2</v>
      </c>
      <c r="W19" s="14" t="n">
        <f aca="false">O19+Q19-P19-R19</f>
        <v>103.4</v>
      </c>
      <c r="X19" s="14" t="n">
        <f aca="false">S19+U19-T19-V19</f>
        <v>47.2</v>
      </c>
      <c r="Y19" s="14" t="n">
        <f aca="false">W19-X19</f>
        <v>56.2</v>
      </c>
      <c r="Z19" s="11" t="n">
        <f aca="false">IF(W19=0,"",Y19/W19)</f>
        <v>0.543520309477756</v>
      </c>
      <c r="AA19" s="25" t="n">
        <f aca="false">Y19*H19</f>
        <v>2810</v>
      </c>
      <c r="AB19" s="26" t="n">
        <v>2810</v>
      </c>
      <c r="AC19" s="25" t="n">
        <f aca="false">ROUND(AA19-AB19,0)</f>
        <v>0</v>
      </c>
      <c r="AD19" s="14" t="n">
        <f aca="false">0.5*W19</f>
        <v>51.7</v>
      </c>
      <c r="AE19" s="14" t="n">
        <f aca="false">-1*W19</f>
        <v>-103.4</v>
      </c>
      <c r="AF19" s="5" t="str">
        <f aca="false">IF(D19="","OPEN",IF(ROUND(Z19,4)&gt;=0.5,"TARGET",IF(ROUND(Z19,4)&lt;=-1,"STOPLOSS",IF(G19&lt;=15,"TIME","CHECK"))))</f>
        <v>TARGET</v>
      </c>
      <c r="AG19" s="5" t="str">
        <f aca="false">AF19</f>
        <v>TARGET</v>
      </c>
      <c r="AH19" s="15"/>
      <c r="AI19" s="5" t="s">
        <v>122</v>
      </c>
      <c r="AJ19" s="25" t="n">
        <f aca="false">AJ18+AB19</f>
        <v>4174</v>
      </c>
      <c r="AK19" s="25" t="n">
        <f aca="false">MAX(AK18,AJ19)</f>
        <v>9650</v>
      </c>
      <c r="AL19" s="25" t="n">
        <f aca="false">AJ19-AK19</f>
        <v>-5476</v>
      </c>
      <c r="AM19" s="5" t="n">
        <f aca="false">IF(AB19&gt;0,AM18+1,0)</f>
        <v>2</v>
      </c>
      <c r="AN19" s="5" t="n">
        <f aca="false">IF(AB19&lt;=0,AN18+1,0)</f>
        <v>0</v>
      </c>
    </row>
    <row r="20" customFormat="false" ht="15" hidden="false" customHeight="false" outlineLevel="0" collapsed="false">
      <c r="A20" s="5" t="n">
        <v>19</v>
      </c>
      <c r="B20" s="5" t="str">
        <f aca="false">IF(D20="","OPEN","CLOSED")</f>
        <v>CLOSED</v>
      </c>
      <c r="C20" s="21" t="n">
        <v>44753.4694444445</v>
      </c>
      <c r="D20" s="21" t="n">
        <v>44783.6361111111</v>
      </c>
      <c r="E20" s="22" t="n">
        <v>44798</v>
      </c>
      <c r="F20" s="23" t="n">
        <f aca="false">INT(E20)-INT(C20)</f>
        <v>45</v>
      </c>
      <c r="G20" s="5" t="n">
        <f aca="false">IF(D20="","",INT(E20)-INT(D20))</f>
        <v>15</v>
      </c>
      <c r="H20" s="24" t="n">
        <v>50</v>
      </c>
      <c r="I20" s="24" t="n">
        <v>16700</v>
      </c>
      <c r="J20" s="24" t="n">
        <v>16900</v>
      </c>
      <c r="K20" s="24" t="n">
        <v>15600</v>
      </c>
      <c r="L20" s="24" t="n">
        <v>15400</v>
      </c>
      <c r="M20" s="23" t="n">
        <f aca="false">J20-I20</f>
        <v>200</v>
      </c>
      <c r="N20" s="23" t="n">
        <f aca="false">K20-L20</f>
        <v>200</v>
      </c>
      <c r="O20" s="24" t="n">
        <v>183.3</v>
      </c>
      <c r="P20" s="24" t="n">
        <v>126.4</v>
      </c>
      <c r="Q20" s="24" t="n">
        <v>212.9</v>
      </c>
      <c r="R20" s="24" t="n">
        <v>165.7</v>
      </c>
      <c r="S20" s="24" t="n">
        <v>906.3</v>
      </c>
      <c r="T20" s="24" t="n">
        <v>719.5</v>
      </c>
      <c r="U20" s="24" t="n">
        <v>6.7</v>
      </c>
      <c r="V20" s="24" t="n">
        <v>5.7</v>
      </c>
      <c r="W20" s="14" t="n">
        <f aca="false">O20+Q20-P20-R20</f>
        <v>104.1</v>
      </c>
      <c r="X20" s="14" t="n">
        <f aca="false">S20+U20-T20-V20</f>
        <v>187.8</v>
      </c>
      <c r="Y20" s="14" t="n">
        <f aca="false">W20-X20</f>
        <v>-83.6999999999999</v>
      </c>
      <c r="Z20" s="11" t="n">
        <f aca="false">IF(W20=0,"",Y20/W20)</f>
        <v>-0.804034582132564</v>
      </c>
      <c r="AA20" s="25" t="n">
        <f aca="false">Y20*H20</f>
        <v>-4185</v>
      </c>
      <c r="AB20" s="26" t="n">
        <v>-4185</v>
      </c>
      <c r="AC20" s="25" t="n">
        <f aca="false">ROUND(AA20-AB20,0)</f>
        <v>0</v>
      </c>
      <c r="AD20" s="14" t="n">
        <f aca="false">0.5*W20</f>
        <v>52.05</v>
      </c>
      <c r="AE20" s="14" t="n">
        <f aca="false">-1*W20</f>
        <v>-104.1</v>
      </c>
      <c r="AF20" s="5" t="str">
        <f aca="false">IF(D20="","OPEN",IF(ROUND(Z20,4)&gt;=0.5,"TARGET",IF(ROUND(Z20,4)&lt;=-1,"STOPLOSS",IF(G20&lt;=15,"TIME","CHECK"))))</f>
        <v>TIME</v>
      </c>
      <c r="AG20" s="5" t="str">
        <f aca="false">AF20</f>
        <v>TIME</v>
      </c>
      <c r="AH20" s="15"/>
      <c r="AI20" s="5" t="s">
        <v>122</v>
      </c>
      <c r="AJ20" s="25" t="n">
        <f aca="false">AJ19+AB20</f>
        <v>-11</v>
      </c>
      <c r="AK20" s="25" t="n">
        <f aca="false">MAX(AK19,AJ20)</f>
        <v>9650</v>
      </c>
      <c r="AL20" s="25" t="n">
        <f aca="false">AJ20-AK20</f>
        <v>-9661</v>
      </c>
      <c r="AM20" s="5" t="n">
        <f aca="false">IF(AB20&gt;0,AM19+1,0)</f>
        <v>0</v>
      </c>
      <c r="AN20" s="5" t="n">
        <f aca="false">IF(AB20&lt;=0,AN19+1,0)</f>
        <v>1</v>
      </c>
    </row>
    <row r="21" customFormat="false" ht="15" hidden="false" customHeight="false" outlineLevel="0" collapsed="false">
      <c r="A21" s="5" t="n">
        <v>20</v>
      </c>
      <c r="B21" s="5" t="str">
        <f aca="false">IF(D21="","OPEN","CLOSED")</f>
        <v>CLOSED</v>
      </c>
      <c r="C21" s="21" t="n">
        <v>44789.4694444445</v>
      </c>
      <c r="D21" s="21" t="n">
        <v>44818.6361111111</v>
      </c>
      <c r="E21" s="22" t="n">
        <v>44833</v>
      </c>
      <c r="F21" s="23" t="n">
        <f aca="false">INT(E21)-INT(C21)</f>
        <v>44</v>
      </c>
      <c r="G21" s="5" t="n">
        <f aca="false">IF(D21="","",INT(E21)-INT(D21))</f>
        <v>15</v>
      </c>
      <c r="H21" s="24" t="n">
        <v>50</v>
      </c>
      <c r="I21" s="24" t="n">
        <v>18400</v>
      </c>
      <c r="J21" s="24" t="n">
        <v>18600</v>
      </c>
      <c r="K21" s="24" t="n">
        <v>17400</v>
      </c>
      <c r="L21" s="24" t="n">
        <v>17200</v>
      </c>
      <c r="M21" s="23" t="n">
        <f aca="false">J21-I21</f>
        <v>200</v>
      </c>
      <c r="N21" s="23" t="n">
        <f aca="false">K21-L21</f>
        <v>200</v>
      </c>
      <c r="O21" s="24" t="n">
        <v>166.6</v>
      </c>
      <c r="P21" s="24" t="n">
        <v>107.7</v>
      </c>
      <c r="Q21" s="24" t="n">
        <v>217.6</v>
      </c>
      <c r="R21" s="24" t="n">
        <v>173</v>
      </c>
      <c r="S21" s="24" t="n">
        <v>89.8</v>
      </c>
      <c r="T21" s="24" t="n">
        <v>46</v>
      </c>
      <c r="U21" s="24" t="n">
        <v>75.2</v>
      </c>
      <c r="V21" s="24" t="n">
        <v>48.5</v>
      </c>
      <c r="W21" s="14" t="n">
        <f aca="false">O21+Q21-P21-R21</f>
        <v>103.5</v>
      </c>
      <c r="X21" s="14" t="n">
        <f aca="false">S21+U21-T21-V21</f>
        <v>70.5</v>
      </c>
      <c r="Y21" s="14" t="n">
        <f aca="false">W21-X21</f>
        <v>33</v>
      </c>
      <c r="Z21" s="11" t="n">
        <f aca="false">IF(W21=0,"",Y21/W21)</f>
        <v>0.318840579710145</v>
      </c>
      <c r="AA21" s="25" t="n">
        <f aca="false">Y21*H21</f>
        <v>1650</v>
      </c>
      <c r="AB21" s="26" t="n">
        <v>1650</v>
      </c>
      <c r="AC21" s="25" t="n">
        <f aca="false">ROUND(AA21-AB21,0)</f>
        <v>0</v>
      </c>
      <c r="AD21" s="14" t="n">
        <f aca="false">0.5*W21</f>
        <v>51.75</v>
      </c>
      <c r="AE21" s="14" t="n">
        <f aca="false">-1*W21</f>
        <v>-103.5</v>
      </c>
      <c r="AF21" s="5" t="str">
        <f aca="false">IF(D21="","OPEN",IF(ROUND(Z21,4)&gt;=0.5,"TARGET",IF(ROUND(Z21,4)&lt;=-1,"STOPLOSS",IF(G21&lt;=15,"TIME","CHECK"))))</f>
        <v>TIME</v>
      </c>
      <c r="AG21" s="5" t="str">
        <f aca="false">AF21</f>
        <v>TIME</v>
      </c>
      <c r="AH21" s="15"/>
      <c r="AI21" s="5" t="s">
        <v>121</v>
      </c>
      <c r="AJ21" s="25" t="n">
        <f aca="false">AJ20+AB21</f>
        <v>1639</v>
      </c>
      <c r="AK21" s="25" t="n">
        <f aca="false">MAX(AK20,AJ21)</f>
        <v>9650</v>
      </c>
      <c r="AL21" s="25" t="n">
        <f aca="false">AJ21-AK21</f>
        <v>-8011</v>
      </c>
      <c r="AM21" s="5" t="n">
        <f aca="false">IF(AB21&gt;0,AM20+1,0)</f>
        <v>1</v>
      </c>
      <c r="AN21" s="5" t="n">
        <f aca="false">IF(AB21&lt;=0,AN20+1,0)</f>
        <v>0</v>
      </c>
    </row>
    <row r="22" customFormat="false" ht="15" hidden="false" customHeight="false" outlineLevel="0" collapsed="false">
      <c r="A22" s="5" t="n">
        <v>21</v>
      </c>
      <c r="B22" s="5" t="str">
        <f aca="false">IF(D22="","OPEN","CLOSED")</f>
        <v>CLOSED</v>
      </c>
      <c r="C22" s="21" t="n">
        <v>44816.4694444445</v>
      </c>
      <c r="D22" s="21" t="n">
        <v>44846.6361111111</v>
      </c>
      <c r="E22" s="22" t="n">
        <v>44861</v>
      </c>
      <c r="F22" s="23" t="n">
        <f aca="false">INT(E22)-INT(C22)</f>
        <v>45</v>
      </c>
      <c r="G22" s="5" t="n">
        <f aca="false">IF(D22="","",INT(E22)-INT(D22))</f>
        <v>15</v>
      </c>
      <c r="H22" s="24" t="n">
        <v>50</v>
      </c>
      <c r="I22" s="24" t="n">
        <v>18500</v>
      </c>
      <c r="J22" s="24" t="n">
        <v>18700</v>
      </c>
      <c r="K22" s="24" t="n">
        <v>17500</v>
      </c>
      <c r="L22" s="24" t="n">
        <v>17300</v>
      </c>
      <c r="M22" s="23" t="n">
        <f aca="false">J22-I22</f>
        <v>200</v>
      </c>
      <c r="N22" s="23" t="n">
        <f aca="false">K22-L22</f>
        <v>200</v>
      </c>
      <c r="O22" s="24" t="n">
        <v>200</v>
      </c>
      <c r="P22" s="24" t="n">
        <v>137.6</v>
      </c>
      <c r="Q22" s="24" t="n">
        <v>226.6</v>
      </c>
      <c r="R22" s="24" t="n">
        <v>175.5</v>
      </c>
      <c r="S22" s="24" t="n">
        <v>5.5</v>
      </c>
      <c r="T22" s="24" t="n">
        <v>4</v>
      </c>
      <c r="U22" s="24" t="n">
        <v>504</v>
      </c>
      <c r="V22" s="24" t="n">
        <v>374.6</v>
      </c>
      <c r="W22" s="14" t="n">
        <f aca="false">O22+Q22-P22-R22</f>
        <v>113.5</v>
      </c>
      <c r="X22" s="14" t="n">
        <f aca="false">S22+U22-T22-V22</f>
        <v>130.9</v>
      </c>
      <c r="Y22" s="14" t="n">
        <f aca="false">W22-X22</f>
        <v>-17.4</v>
      </c>
      <c r="Z22" s="11" t="n">
        <f aca="false">IF(W22=0,"",Y22/W22)</f>
        <v>-0.153303964757709</v>
      </c>
      <c r="AA22" s="25" t="n">
        <f aca="false">Y22*H22</f>
        <v>-869.999999999999</v>
      </c>
      <c r="AB22" s="26" t="n">
        <v>-869</v>
      </c>
      <c r="AC22" s="25" t="n">
        <f aca="false">ROUND(AA22-AB22,0)</f>
        <v>-1</v>
      </c>
      <c r="AD22" s="14" t="n">
        <f aca="false">0.5*W22</f>
        <v>56.75</v>
      </c>
      <c r="AE22" s="14" t="n">
        <f aca="false">-1*W22</f>
        <v>-113.5</v>
      </c>
      <c r="AF22" s="5" t="str">
        <f aca="false">IF(D22="","OPEN",IF(ROUND(Z22,4)&gt;=0.5,"TARGET",IF(ROUND(Z22,4)&lt;=-1,"STOPLOSS",IF(G22&lt;=15,"TIME","CHECK"))))</f>
        <v>TIME</v>
      </c>
      <c r="AG22" s="5" t="str">
        <f aca="false">AF22</f>
        <v>TIME</v>
      </c>
      <c r="AH22" s="15"/>
      <c r="AI22" s="5" t="s">
        <v>122</v>
      </c>
      <c r="AJ22" s="25" t="n">
        <f aca="false">AJ21+AB22</f>
        <v>770</v>
      </c>
      <c r="AK22" s="25" t="n">
        <f aca="false">MAX(AK21,AJ22)</f>
        <v>9650</v>
      </c>
      <c r="AL22" s="25" t="n">
        <f aca="false">AJ22-AK22</f>
        <v>-8880</v>
      </c>
      <c r="AM22" s="5" t="n">
        <f aca="false">IF(AB22&gt;0,AM21+1,0)</f>
        <v>0</v>
      </c>
      <c r="AN22" s="5" t="n">
        <f aca="false">IF(AB22&lt;=0,AN21+1,0)</f>
        <v>1</v>
      </c>
    </row>
    <row r="23" customFormat="false" ht="15" hidden="false" customHeight="false" outlineLevel="0" collapsed="false">
      <c r="A23" s="5" t="n">
        <v>22</v>
      </c>
      <c r="B23" s="5" t="str">
        <f aca="false">IF(D23="","OPEN","CLOSED")</f>
        <v>CLOSED</v>
      </c>
      <c r="C23" s="21" t="n">
        <v>44844.4694444445</v>
      </c>
      <c r="D23" s="21" t="n">
        <v>44874.6361111111</v>
      </c>
      <c r="E23" s="22" t="n">
        <v>44889</v>
      </c>
      <c r="F23" s="23" t="n">
        <f aca="false">INT(E23)-INT(C23)</f>
        <v>45</v>
      </c>
      <c r="G23" s="5" t="n">
        <f aca="false">IF(D23="","",INT(E23)-INT(D23))</f>
        <v>15</v>
      </c>
      <c r="H23" s="24" t="n">
        <v>50</v>
      </c>
      <c r="I23" s="24" t="n">
        <v>17800</v>
      </c>
      <c r="J23" s="24" t="n">
        <v>18000</v>
      </c>
      <c r="K23" s="24" t="n">
        <v>16500</v>
      </c>
      <c r="L23" s="24" t="n">
        <v>16300</v>
      </c>
      <c r="M23" s="23" t="n">
        <f aca="false">J23-I23</f>
        <v>200</v>
      </c>
      <c r="N23" s="23" t="n">
        <f aca="false">K23-L23</f>
        <v>200</v>
      </c>
      <c r="O23" s="24" t="n">
        <v>186</v>
      </c>
      <c r="P23" s="24" t="n">
        <v>133.6</v>
      </c>
      <c r="Q23" s="24" t="n">
        <v>217.9</v>
      </c>
      <c r="R23" s="24" t="n">
        <v>171</v>
      </c>
      <c r="S23" s="24" t="n">
        <v>495</v>
      </c>
      <c r="T23" s="24" t="n">
        <v>351.9</v>
      </c>
      <c r="U23" s="24" t="n">
        <v>4.1</v>
      </c>
      <c r="V23" s="24" t="n">
        <v>3.1</v>
      </c>
      <c r="W23" s="14" t="n">
        <f aca="false">O23+Q23-P23-R23</f>
        <v>99.3</v>
      </c>
      <c r="X23" s="14" t="n">
        <f aca="false">S23+U23-T23-V23</f>
        <v>144.1</v>
      </c>
      <c r="Y23" s="14" t="n">
        <f aca="false">W23-X23</f>
        <v>-44.8000000000001</v>
      </c>
      <c r="Z23" s="11" t="n">
        <f aca="false">IF(W23=0,"",Y23/W23)</f>
        <v>-0.451158106747232</v>
      </c>
      <c r="AA23" s="25" t="n">
        <f aca="false">Y23*H23</f>
        <v>-2240.00000000001</v>
      </c>
      <c r="AB23" s="26" t="n">
        <v>-2240</v>
      </c>
      <c r="AC23" s="25" t="n">
        <f aca="false">ROUND(AA23-AB23,0)</f>
        <v>0</v>
      </c>
      <c r="AD23" s="14" t="n">
        <f aca="false">0.5*W23</f>
        <v>49.65</v>
      </c>
      <c r="AE23" s="14" t="n">
        <f aca="false">-1*W23</f>
        <v>-99.3</v>
      </c>
      <c r="AF23" s="5" t="str">
        <f aca="false">IF(D23="","OPEN",IF(ROUND(Z23,4)&gt;=0.5,"TARGET",IF(ROUND(Z23,4)&lt;=-1,"STOPLOSS",IF(G23&lt;=15,"TIME","CHECK"))))</f>
        <v>TIME</v>
      </c>
      <c r="AG23" s="5" t="str">
        <f aca="false">AF23</f>
        <v>TIME</v>
      </c>
      <c r="AH23" s="15"/>
      <c r="AI23" s="5" t="s">
        <v>122</v>
      </c>
      <c r="AJ23" s="25" t="n">
        <f aca="false">AJ22+AB23</f>
        <v>-1470</v>
      </c>
      <c r="AK23" s="25" t="n">
        <f aca="false">MAX(AK22,AJ23)</f>
        <v>9650</v>
      </c>
      <c r="AL23" s="25" t="n">
        <f aca="false">AJ23-AK23</f>
        <v>-11120</v>
      </c>
      <c r="AM23" s="5" t="n">
        <f aca="false">IF(AB23&gt;0,AM22+1,0)</f>
        <v>0</v>
      </c>
      <c r="AN23" s="5" t="n">
        <f aca="false">IF(AB23&lt;=0,AN22+1,0)</f>
        <v>2</v>
      </c>
    </row>
    <row r="24" customFormat="false" ht="35.05" hidden="false" customHeight="false" outlineLevel="0" collapsed="false">
      <c r="A24" s="5" t="n">
        <v>23</v>
      </c>
      <c r="B24" s="5" t="str">
        <f aca="false">IF(D24="","OPEN","CLOSED")</f>
        <v>CLOSED</v>
      </c>
      <c r="C24" s="21" t="n">
        <v>44879.4694444445</v>
      </c>
      <c r="D24" s="21" t="n">
        <v>44907.6361111111</v>
      </c>
      <c r="E24" s="22" t="n">
        <v>44924</v>
      </c>
      <c r="F24" s="23" t="n">
        <f aca="false">INT(E24)-INT(C24)</f>
        <v>45</v>
      </c>
      <c r="G24" s="5" t="n">
        <f aca="false">IF(D24="","",INT(E24)-INT(D24))</f>
        <v>17</v>
      </c>
      <c r="H24" s="24" t="n">
        <v>50</v>
      </c>
      <c r="I24" s="24" t="n">
        <v>18900</v>
      </c>
      <c r="J24" s="24" t="n">
        <v>19100</v>
      </c>
      <c r="K24" s="24" t="n">
        <v>18000</v>
      </c>
      <c r="L24" s="24" t="n">
        <v>17800</v>
      </c>
      <c r="M24" s="23" t="n">
        <f aca="false">J24-I24</f>
        <v>200</v>
      </c>
      <c r="N24" s="23" t="n">
        <f aca="false">K24-L24</f>
        <v>200</v>
      </c>
      <c r="O24" s="24" t="n">
        <v>157</v>
      </c>
      <c r="P24" s="24" t="n">
        <v>99.5</v>
      </c>
      <c r="Q24" s="24" t="n">
        <v>175.1</v>
      </c>
      <c r="R24" s="24" t="n">
        <v>127.4</v>
      </c>
      <c r="S24" s="24" t="n">
        <v>65.8</v>
      </c>
      <c r="T24" s="24" t="n">
        <v>26.4</v>
      </c>
      <c r="U24" s="24" t="n">
        <v>35.9</v>
      </c>
      <c r="V24" s="24" t="n">
        <v>20.8</v>
      </c>
      <c r="W24" s="14" t="n">
        <f aca="false">O24+Q24-P24-R24</f>
        <v>105.2</v>
      </c>
      <c r="X24" s="14" t="n">
        <f aca="false">S24+U24-T24-V24</f>
        <v>54.5</v>
      </c>
      <c r="Y24" s="14" t="n">
        <f aca="false">W24-X24</f>
        <v>50.7</v>
      </c>
      <c r="Z24" s="11" t="n">
        <f aca="false">IF(W24=0,"",Y24/W24)</f>
        <v>0.481939163498099</v>
      </c>
      <c r="AA24" s="25" t="n">
        <f aca="false">Y24*H24</f>
        <v>2535</v>
      </c>
      <c r="AB24" s="26" t="n">
        <v>2535</v>
      </c>
      <c r="AC24" s="25" t="n">
        <f aca="false">ROUND(AA24-AB24,0)</f>
        <v>0</v>
      </c>
      <c r="AD24" s="14" t="n">
        <f aca="false">0.5*W24</f>
        <v>52.6</v>
      </c>
      <c r="AE24" s="14" t="n">
        <f aca="false">-1*W24</f>
        <v>-105.2</v>
      </c>
      <c r="AF24" s="5" t="str">
        <f aca="false">IF(D24="","OPEN",IF(ROUND(Z24,4)&gt;=0.5,"TARGET",IF(ROUND(Z24,4)&lt;=-1,"STOPLOSS",IF(G24&lt;=15,"TIME","CHECK"))))</f>
        <v>CHECK</v>
      </c>
      <c r="AG24" s="5" t="s">
        <v>123</v>
      </c>
      <c r="AH24" s="15" t="s">
        <v>124</v>
      </c>
      <c r="AI24" s="5" t="s">
        <v>121</v>
      </c>
      <c r="AJ24" s="25" t="n">
        <f aca="false">AJ23+AB24</f>
        <v>1065</v>
      </c>
      <c r="AK24" s="25" t="n">
        <f aca="false">MAX(AK23,AJ24)</f>
        <v>9650</v>
      </c>
      <c r="AL24" s="25" t="n">
        <f aca="false">AJ24-AK24</f>
        <v>-8585</v>
      </c>
      <c r="AM24" s="5" t="n">
        <f aca="false">IF(AB24&gt;0,AM23+1,0)</f>
        <v>1</v>
      </c>
      <c r="AN24" s="5" t="n">
        <f aca="false">IF(AB24&lt;=0,AN23+1,0)</f>
        <v>0</v>
      </c>
    </row>
    <row r="25" customFormat="false" ht="15" hidden="false" customHeight="false" outlineLevel="0" collapsed="false">
      <c r="A25" s="5" t="n">
        <v>24</v>
      </c>
      <c r="B25" s="5" t="str">
        <f aca="false">IF(D25="","OPEN","CLOSED")</f>
        <v>CLOSED</v>
      </c>
      <c r="C25" s="21" t="n">
        <v>44907.4694444445</v>
      </c>
      <c r="D25" s="21" t="n">
        <v>44936.6361111111</v>
      </c>
      <c r="E25" s="22" t="n">
        <v>44951</v>
      </c>
      <c r="F25" s="23" t="n">
        <f aca="false">INT(E25)-INT(C25)</f>
        <v>44</v>
      </c>
      <c r="G25" s="5" t="n">
        <f aca="false">IF(D25="","",INT(E25)-INT(D25))</f>
        <v>15</v>
      </c>
      <c r="H25" s="24" t="n">
        <v>50</v>
      </c>
      <c r="I25" s="24" t="n">
        <v>19100</v>
      </c>
      <c r="J25" s="24" t="n">
        <v>19300</v>
      </c>
      <c r="K25" s="24" t="n">
        <v>18300</v>
      </c>
      <c r="L25" s="24" t="n">
        <v>18100</v>
      </c>
      <c r="M25" s="23" t="n">
        <f aca="false">J25-I25</f>
        <v>200</v>
      </c>
      <c r="N25" s="23" t="n">
        <f aca="false">K25-L25</f>
        <v>200</v>
      </c>
      <c r="O25" s="24" t="n">
        <v>149.9</v>
      </c>
      <c r="P25" s="24" t="n">
        <v>91</v>
      </c>
      <c r="Q25" s="24" t="n">
        <v>169.8</v>
      </c>
      <c r="R25" s="24" t="n">
        <v>121.5</v>
      </c>
      <c r="S25" s="24" t="n">
        <v>7.2</v>
      </c>
      <c r="T25" s="24" t="n">
        <v>5.8</v>
      </c>
      <c r="U25" s="24" t="n">
        <v>392</v>
      </c>
      <c r="V25" s="24" t="n">
        <v>260.7</v>
      </c>
      <c r="W25" s="14" t="n">
        <f aca="false">O25+Q25-P25-R25</f>
        <v>107.2</v>
      </c>
      <c r="X25" s="14" t="n">
        <f aca="false">S25+U25-T25-V25</f>
        <v>132.7</v>
      </c>
      <c r="Y25" s="14" t="n">
        <f aca="false">W25-X25</f>
        <v>-25.4999999999999</v>
      </c>
      <c r="Z25" s="11" t="n">
        <f aca="false">IF(W25=0,"",Y25/W25)</f>
        <v>-0.237873134328358</v>
      </c>
      <c r="AA25" s="25" t="n">
        <f aca="false">Y25*H25</f>
        <v>-1275</v>
      </c>
      <c r="AB25" s="26" t="n">
        <v>-1277</v>
      </c>
      <c r="AC25" s="25" t="n">
        <f aca="false">ROUND(AA25-AB25,0)</f>
        <v>2</v>
      </c>
      <c r="AD25" s="14" t="n">
        <f aca="false">0.5*W25</f>
        <v>53.6</v>
      </c>
      <c r="AE25" s="14" t="n">
        <f aca="false">-1*W25</f>
        <v>-107.2</v>
      </c>
      <c r="AF25" s="5" t="str">
        <f aca="false">IF(D25="","OPEN",IF(ROUND(Z25,4)&gt;=0.5,"TARGET",IF(ROUND(Z25,4)&lt;=-1,"STOPLOSS",IF(G25&lt;=15,"TIME","CHECK"))))</f>
        <v>TIME</v>
      </c>
      <c r="AG25" s="5" t="str">
        <f aca="false">AF25</f>
        <v>TIME</v>
      </c>
      <c r="AH25" s="15"/>
      <c r="AI25" s="5" t="s">
        <v>122</v>
      </c>
      <c r="AJ25" s="25" t="n">
        <f aca="false">AJ24+AB25</f>
        <v>-212</v>
      </c>
      <c r="AK25" s="25" t="n">
        <f aca="false">MAX(AK24,AJ25)</f>
        <v>9650</v>
      </c>
      <c r="AL25" s="25" t="n">
        <f aca="false">AJ25-AK25</f>
        <v>-9862</v>
      </c>
      <c r="AM25" s="5" t="n">
        <f aca="false">IF(AB25&gt;0,AM24+1,0)</f>
        <v>0</v>
      </c>
      <c r="AN25" s="5" t="n">
        <f aca="false">IF(AB25&lt;=0,AN24+1,0)</f>
        <v>1</v>
      </c>
    </row>
    <row r="26" customFormat="false" ht="15" hidden="false" customHeight="false" outlineLevel="0" collapsed="false">
      <c r="A26" s="5" t="n">
        <v>25</v>
      </c>
      <c r="B26" s="5" t="str">
        <f aca="false">IF(D26="","OPEN","CLOSED")</f>
        <v>CLOSED</v>
      </c>
      <c r="C26" s="21" t="n">
        <v>44935.4694444445</v>
      </c>
      <c r="D26" s="21" t="n">
        <v>44965.6361111111</v>
      </c>
      <c r="E26" s="22" t="n">
        <v>44980</v>
      </c>
      <c r="F26" s="23" t="n">
        <f aca="false">INT(E26)-INT(C26)</f>
        <v>45</v>
      </c>
      <c r="G26" s="5" t="n">
        <f aca="false">IF(D26="","",INT(E26)-INT(D26))</f>
        <v>15</v>
      </c>
      <c r="H26" s="24" t="n">
        <v>50</v>
      </c>
      <c r="I26" s="24" t="n">
        <v>18700</v>
      </c>
      <c r="J26" s="24" t="n">
        <v>18900</v>
      </c>
      <c r="K26" s="24" t="n">
        <v>17750</v>
      </c>
      <c r="L26" s="24" t="n">
        <v>17550</v>
      </c>
      <c r="M26" s="23" t="n">
        <f aca="false">J26-I26</f>
        <v>200</v>
      </c>
      <c r="N26" s="23" t="n">
        <f aca="false">K26-L26</f>
        <v>200</v>
      </c>
      <c r="O26" s="24" t="n">
        <v>169.9</v>
      </c>
      <c r="P26" s="24" t="n">
        <v>107</v>
      </c>
      <c r="Q26" s="24" t="n">
        <v>199.9</v>
      </c>
      <c r="R26" s="24" t="n">
        <v>151</v>
      </c>
      <c r="S26" s="24" t="n">
        <v>5.3</v>
      </c>
      <c r="T26" s="24" t="n">
        <v>3.8</v>
      </c>
      <c r="U26" s="24" t="n">
        <v>113.8</v>
      </c>
      <c r="V26" s="24" t="n">
        <v>65</v>
      </c>
      <c r="W26" s="14" t="n">
        <f aca="false">O26+Q26-P26-R26</f>
        <v>111.8</v>
      </c>
      <c r="X26" s="14" t="n">
        <f aca="false">S26+U26-T26-V26</f>
        <v>50.3</v>
      </c>
      <c r="Y26" s="14" t="n">
        <f aca="false">W26-X26</f>
        <v>61.5</v>
      </c>
      <c r="Z26" s="11" t="n">
        <f aca="false">IF(W26=0,"",Y26/W26)</f>
        <v>0.550089445438283</v>
      </c>
      <c r="AA26" s="25" t="n">
        <f aca="false">Y26*H26</f>
        <v>3075</v>
      </c>
      <c r="AB26" s="26" t="n">
        <v>3075</v>
      </c>
      <c r="AC26" s="25" t="n">
        <f aca="false">ROUND(AA26-AB26,0)</f>
        <v>0</v>
      </c>
      <c r="AD26" s="14" t="n">
        <f aca="false">0.5*W26</f>
        <v>55.9</v>
      </c>
      <c r="AE26" s="14" t="n">
        <f aca="false">-1*W26</f>
        <v>-111.8</v>
      </c>
      <c r="AF26" s="5" t="str">
        <f aca="false">IF(D26="","OPEN",IF(ROUND(Z26,4)&gt;=0.5,"TARGET",IF(ROUND(Z26,4)&lt;=-1,"STOPLOSS",IF(G26&lt;=15,"TIME","CHECK"))))</f>
        <v>TARGET</v>
      </c>
      <c r="AG26" s="5" t="str">
        <f aca="false">AF26</f>
        <v>TARGET</v>
      </c>
      <c r="AH26" s="15"/>
      <c r="AI26" s="5" t="s">
        <v>122</v>
      </c>
      <c r="AJ26" s="25" t="n">
        <f aca="false">AJ25+AB26</f>
        <v>2863</v>
      </c>
      <c r="AK26" s="25" t="n">
        <f aca="false">MAX(AK25,AJ26)</f>
        <v>9650</v>
      </c>
      <c r="AL26" s="25" t="n">
        <f aca="false">AJ26-AK26</f>
        <v>-6787</v>
      </c>
      <c r="AM26" s="5" t="n">
        <f aca="false">IF(AB26&gt;0,AM25+1,0)</f>
        <v>1</v>
      </c>
      <c r="AN26" s="5" t="n">
        <f aca="false">IF(AB26&lt;=0,AN25+1,0)</f>
        <v>0</v>
      </c>
    </row>
    <row r="27" customFormat="false" ht="15" hidden="false" customHeight="false" outlineLevel="0" collapsed="false">
      <c r="A27" s="5" t="n">
        <v>26</v>
      </c>
      <c r="B27" s="5" t="str">
        <f aca="false">IF(D27="","OPEN","CLOSED")</f>
        <v>CLOSED</v>
      </c>
      <c r="C27" s="21" t="n">
        <v>44970.4694444445</v>
      </c>
      <c r="D27" s="21" t="n">
        <v>44991.6361111111</v>
      </c>
      <c r="E27" s="22" t="n">
        <v>45014</v>
      </c>
      <c r="F27" s="23" t="n">
        <f aca="false">INT(E27)-INT(C27)</f>
        <v>44</v>
      </c>
      <c r="G27" s="5" t="n">
        <f aca="false">IF(D27="","",INT(E27)-INT(D27))</f>
        <v>23</v>
      </c>
      <c r="H27" s="24" t="n">
        <v>50</v>
      </c>
      <c r="I27" s="24" t="n">
        <v>18300</v>
      </c>
      <c r="J27" s="24" t="n">
        <v>18500</v>
      </c>
      <c r="K27" s="24" t="n">
        <v>17500</v>
      </c>
      <c r="L27" s="24" t="n">
        <v>17300</v>
      </c>
      <c r="M27" s="23" t="n">
        <f aca="false">J27-I27</f>
        <v>200</v>
      </c>
      <c r="N27" s="23" t="n">
        <f aca="false">K27-L27</f>
        <v>200</v>
      </c>
      <c r="O27" s="24" t="n">
        <v>132.7</v>
      </c>
      <c r="P27" s="24" t="n">
        <v>77.5</v>
      </c>
      <c r="Q27" s="24" t="n">
        <v>157.9</v>
      </c>
      <c r="R27" s="24" t="n">
        <v>110</v>
      </c>
      <c r="S27" s="24" t="n">
        <v>24.1</v>
      </c>
      <c r="T27" s="24" t="n">
        <v>10.8</v>
      </c>
      <c r="U27" s="24" t="n">
        <v>93.3</v>
      </c>
      <c r="V27" s="24" t="n">
        <v>56.2</v>
      </c>
      <c r="W27" s="14" t="n">
        <f aca="false">O27+Q27-P27-R27</f>
        <v>103.1</v>
      </c>
      <c r="X27" s="14" t="n">
        <f aca="false">S27+U27-T27-V27</f>
        <v>50.4</v>
      </c>
      <c r="Y27" s="14" t="n">
        <f aca="false">W27-X27</f>
        <v>52.7</v>
      </c>
      <c r="Z27" s="11" t="n">
        <f aca="false">IF(W27=0,"",Y27/W27)</f>
        <v>0.511154219204656</v>
      </c>
      <c r="AA27" s="25" t="n">
        <f aca="false">Y27*H27</f>
        <v>2635</v>
      </c>
      <c r="AB27" s="26" t="n">
        <v>2634</v>
      </c>
      <c r="AC27" s="25" t="n">
        <f aca="false">ROUND(AA27-AB27,0)</f>
        <v>1</v>
      </c>
      <c r="AD27" s="14" t="n">
        <f aca="false">0.5*W27</f>
        <v>51.55</v>
      </c>
      <c r="AE27" s="14" t="n">
        <f aca="false">-1*W27</f>
        <v>-103.1</v>
      </c>
      <c r="AF27" s="5" t="str">
        <f aca="false">IF(D27="","OPEN",IF(ROUND(Z27,4)&gt;=0.5,"TARGET",IF(ROUND(Z27,4)&lt;=-1,"STOPLOSS",IF(G27&lt;=15,"TIME","CHECK"))))</f>
        <v>TARGET</v>
      </c>
      <c r="AG27" s="5" t="str">
        <f aca="false">AF27</f>
        <v>TARGET</v>
      </c>
      <c r="AH27" s="15"/>
      <c r="AI27" s="5" t="s">
        <v>121</v>
      </c>
      <c r="AJ27" s="25" t="n">
        <f aca="false">AJ26+AB27</f>
        <v>5497</v>
      </c>
      <c r="AK27" s="25" t="n">
        <f aca="false">MAX(AK26,AJ27)</f>
        <v>9650</v>
      </c>
      <c r="AL27" s="25" t="n">
        <f aca="false">AJ27-AK27</f>
        <v>-4153</v>
      </c>
      <c r="AM27" s="5" t="n">
        <f aca="false">IF(AB27&gt;0,AM26+1,0)</f>
        <v>2</v>
      </c>
      <c r="AN27" s="5" t="n">
        <f aca="false">IF(AB27&lt;=0,AN26+1,0)</f>
        <v>0</v>
      </c>
    </row>
    <row r="28" customFormat="false" ht="15" hidden="false" customHeight="false" outlineLevel="0" collapsed="false">
      <c r="A28" s="5" t="n">
        <v>27</v>
      </c>
      <c r="B28" s="5" t="str">
        <f aca="false">IF(D28="","OPEN","CLOSED")</f>
        <v>CLOSED</v>
      </c>
      <c r="C28" s="21" t="n">
        <v>44998.4694444445</v>
      </c>
      <c r="D28" s="21" t="n">
        <v>45028.6361111111</v>
      </c>
      <c r="E28" s="22" t="n">
        <v>45043</v>
      </c>
      <c r="F28" s="23" t="n">
        <f aca="false">INT(E28)-INT(C28)</f>
        <v>45</v>
      </c>
      <c r="G28" s="5" t="n">
        <f aca="false">IF(D28="","",INT(E28)-INT(D28))</f>
        <v>15</v>
      </c>
      <c r="H28" s="24" t="n">
        <v>50</v>
      </c>
      <c r="I28" s="24" t="n">
        <v>17900</v>
      </c>
      <c r="J28" s="24" t="n">
        <v>18100</v>
      </c>
      <c r="K28" s="24" t="n">
        <v>17100</v>
      </c>
      <c r="L28" s="24" t="n">
        <v>16900</v>
      </c>
      <c r="M28" s="23" t="n">
        <f aca="false">J28-I28</f>
        <v>200</v>
      </c>
      <c r="N28" s="23" t="n">
        <f aca="false">K28-L28</f>
        <v>200</v>
      </c>
      <c r="O28" s="24" t="n">
        <v>148.9</v>
      </c>
      <c r="P28" s="24" t="n">
        <v>91.5</v>
      </c>
      <c r="Q28" s="24" t="n">
        <v>162</v>
      </c>
      <c r="R28" s="24" t="n">
        <v>117.2</v>
      </c>
      <c r="S28" s="24" t="n">
        <v>123.8</v>
      </c>
      <c r="T28" s="24" t="n">
        <v>48</v>
      </c>
      <c r="U28" s="24" t="n">
        <v>17.3</v>
      </c>
      <c r="V28" s="24" t="n">
        <v>12.8</v>
      </c>
      <c r="W28" s="14" t="n">
        <f aca="false">O28+Q28-P28-R28</f>
        <v>102.2</v>
      </c>
      <c r="X28" s="14" t="n">
        <f aca="false">S28+U28-T28-V28</f>
        <v>80.3</v>
      </c>
      <c r="Y28" s="14" t="n">
        <f aca="false">W28-X28</f>
        <v>21.9</v>
      </c>
      <c r="Z28" s="11" t="n">
        <f aca="false">IF(W28=0,"",Y28/W28)</f>
        <v>0.214285714285714</v>
      </c>
      <c r="AA28" s="25" t="n">
        <f aca="false">Y28*H28</f>
        <v>1095</v>
      </c>
      <c r="AB28" s="26" t="n">
        <v>1094</v>
      </c>
      <c r="AC28" s="25" t="n">
        <f aca="false">ROUND(AA28-AB28,0)</f>
        <v>1</v>
      </c>
      <c r="AD28" s="14" t="n">
        <f aca="false">0.5*W28</f>
        <v>51.1</v>
      </c>
      <c r="AE28" s="14" t="n">
        <f aca="false">-1*W28</f>
        <v>-102.2</v>
      </c>
      <c r="AF28" s="5" t="str">
        <f aca="false">IF(D28="","OPEN",IF(ROUND(Z28,4)&gt;=0.5,"TARGET",IF(ROUND(Z28,4)&lt;=-1,"STOPLOSS",IF(G28&lt;=15,"TIME","CHECK"))))</f>
        <v>TIME</v>
      </c>
      <c r="AG28" s="5" t="str">
        <f aca="false">AF28</f>
        <v>TIME</v>
      </c>
      <c r="AH28" s="15"/>
      <c r="AI28" s="5" t="s">
        <v>121</v>
      </c>
      <c r="AJ28" s="25" t="n">
        <f aca="false">AJ27+AB28</f>
        <v>6591</v>
      </c>
      <c r="AK28" s="25" t="n">
        <f aca="false">MAX(AK27,AJ28)</f>
        <v>9650</v>
      </c>
      <c r="AL28" s="25" t="n">
        <f aca="false">AJ28-AK28</f>
        <v>-3059</v>
      </c>
      <c r="AM28" s="5" t="n">
        <f aca="false">IF(AB28&gt;0,AM27+1,0)</f>
        <v>3</v>
      </c>
      <c r="AN28" s="5" t="n">
        <f aca="false">IF(AB28&lt;=0,AN27+1,0)</f>
        <v>0</v>
      </c>
    </row>
    <row r="29" customFormat="false" ht="15" hidden="false" customHeight="false" outlineLevel="0" collapsed="false">
      <c r="A29" s="5" t="n">
        <v>28</v>
      </c>
      <c r="B29" s="5" t="str">
        <f aca="false">IF(D29="","OPEN","CLOSED")</f>
        <v>CLOSED</v>
      </c>
      <c r="C29" s="21" t="n">
        <v>45026.4694444445</v>
      </c>
      <c r="D29" s="21" t="n">
        <v>45056.6361111111</v>
      </c>
      <c r="E29" s="22" t="n">
        <v>45071</v>
      </c>
      <c r="F29" s="23" t="n">
        <f aca="false">INT(E29)-INT(C29)</f>
        <v>45</v>
      </c>
      <c r="G29" s="5" t="n">
        <f aca="false">IF(D29="","",INT(E29)-INT(D29))</f>
        <v>15</v>
      </c>
      <c r="H29" s="24" t="n">
        <v>50</v>
      </c>
      <c r="I29" s="24" t="n">
        <v>18100</v>
      </c>
      <c r="J29" s="24" t="n">
        <v>18300</v>
      </c>
      <c r="K29" s="24" t="n">
        <v>17300</v>
      </c>
      <c r="L29" s="24" t="n">
        <v>17100</v>
      </c>
      <c r="M29" s="23" t="n">
        <f aca="false">J29-I29</f>
        <v>200</v>
      </c>
      <c r="N29" s="23" t="n">
        <f aca="false">K29-L29</f>
        <v>200</v>
      </c>
      <c r="O29" s="24" t="n">
        <v>124.9</v>
      </c>
      <c r="P29" s="24" t="n">
        <v>70.85</v>
      </c>
      <c r="Q29" s="24" t="n">
        <v>139.8</v>
      </c>
      <c r="R29" s="24" t="n">
        <v>102.3</v>
      </c>
      <c r="S29" s="24" t="n">
        <v>316.9</v>
      </c>
      <c r="T29" s="24" t="n">
        <v>179.8</v>
      </c>
      <c r="U29" s="24" t="n">
        <v>10.7</v>
      </c>
      <c r="V29" s="24" t="n">
        <v>8.1</v>
      </c>
      <c r="W29" s="14" t="n">
        <f aca="false">O29+Q29-P29-R29</f>
        <v>91.5500000000001</v>
      </c>
      <c r="X29" s="14" t="n">
        <f aca="false">S29+U29-T29-V29</f>
        <v>139.7</v>
      </c>
      <c r="Y29" s="14" t="n">
        <f aca="false">W29-X29</f>
        <v>-48.1499999999999</v>
      </c>
      <c r="Z29" s="11" t="n">
        <f aca="false">IF(W29=0,"",Y29/W29)</f>
        <v>-0.525942108137628</v>
      </c>
      <c r="AA29" s="25" t="n">
        <f aca="false">Y29*H29</f>
        <v>-2407.5</v>
      </c>
      <c r="AB29" s="26" t="n">
        <v>-2408</v>
      </c>
      <c r="AC29" s="25" t="n">
        <f aca="false">ROUND(AA29-AB29,0)</f>
        <v>1</v>
      </c>
      <c r="AD29" s="14" t="n">
        <f aca="false">0.5*W29</f>
        <v>45.775</v>
      </c>
      <c r="AE29" s="14" t="n">
        <f aca="false">-1*W29</f>
        <v>-91.5500000000001</v>
      </c>
      <c r="AF29" s="5" t="str">
        <f aca="false">IF(D29="","OPEN",IF(ROUND(Z29,4)&gt;=0.5,"TARGET",IF(ROUND(Z29,4)&lt;=-1,"STOPLOSS",IF(G29&lt;=15,"TIME","CHECK"))))</f>
        <v>TIME</v>
      </c>
      <c r="AG29" s="5" t="str">
        <f aca="false">AF29</f>
        <v>TIME</v>
      </c>
      <c r="AH29" s="15"/>
      <c r="AI29" s="5" t="s">
        <v>122</v>
      </c>
      <c r="AJ29" s="25" t="n">
        <f aca="false">AJ28+AB29</f>
        <v>4183</v>
      </c>
      <c r="AK29" s="25" t="n">
        <f aca="false">MAX(AK28,AJ29)</f>
        <v>9650</v>
      </c>
      <c r="AL29" s="25" t="n">
        <f aca="false">AJ29-AK29</f>
        <v>-5467</v>
      </c>
      <c r="AM29" s="5" t="n">
        <f aca="false">IF(AB29&gt;0,AM28+1,0)</f>
        <v>0</v>
      </c>
      <c r="AN29" s="5" t="n">
        <f aca="false">IF(AB29&lt;=0,AN28+1,0)</f>
        <v>1</v>
      </c>
    </row>
    <row r="30" customFormat="false" ht="15" hidden="false" customHeight="false" outlineLevel="0" collapsed="false">
      <c r="A30" s="5" t="n">
        <v>29</v>
      </c>
      <c r="B30" s="5" t="str">
        <f aca="false">IF(D30="","OPEN","CLOSED")</f>
        <v>CLOSED</v>
      </c>
      <c r="C30" s="21" t="n">
        <v>45061.4694444445</v>
      </c>
      <c r="D30" s="21" t="n">
        <v>45090.6361111111</v>
      </c>
      <c r="E30" s="22" t="n">
        <v>45105</v>
      </c>
      <c r="F30" s="23" t="n">
        <f aca="false">INT(E30)-INT(C30)</f>
        <v>44</v>
      </c>
      <c r="G30" s="5" t="n">
        <f aca="false">IF(D30="","",INT(E30)-INT(D30))</f>
        <v>15</v>
      </c>
      <c r="H30" s="24" t="n">
        <v>50</v>
      </c>
      <c r="I30" s="24" t="n">
        <v>18800</v>
      </c>
      <c r="J30" s="24" t="n">
        <v>19000</v>
      </c>
      <c r="K30" s="24" t="n">
        <v>18050</v>
      </c>
      <c r="L30" s="24" t="n">
        <v>17850</v>
      </c>
      <c r="M30" s="23" t="n">
        <f aca="false">J30-I30</f>
        <v>200</v>
      </c>
      <c r="N30" s="23" t="n">
        <f aca="false">K30-L30</f>
        <v>200</v>
      </c>
      <c r="O30" s="24" t="n">
        <v>144</v>
      </c>
      <c r="P30" s="24" t="n">
        <v>85.3</v>
      </c>
      <c r="Q30" s="24" t="n">
        <v>162.5</v>
      </c>
      <c r="R30" s="24" t="n">
        <v>114.8</v>
      </c>
      <c r="S30" s="24" t="n">
        <v>131.6</v>
      </c>
      <c r="T30" s="24" t="n">
        <v>51.2</v>
      </c>
      <c r="U30" s="24" t="n">
        <v>16.6</v>
      </c>
      <c r="V30" s="24" t="n">
        <v>11.15</v>
      </c>
      <c r="W30" s="14" t="n">
        <f aca="false">O30+Q30-P30-R30</f>
        <v>106.4</v>
      </c>
      <c r="X30" s="14" t="n">
        <f aca="false">S30+U30-T30-V30</f>
        <v>85.85</v>
      </c>
      <c r="Y30" s="14" t="n">
        <f aca="false">W30-X30</f>
        <v>20.55</v>
      </c>
      <c r="Z30" s="11" t="n">
        <f aca="false">IF(W30=0,"",Y30/W30)</f>
        <v>0.193139097744361</v>
      </c>
      <c r="AA30" s="25" t="n">
        <f aca="false">Y30*H30</f>
        <v>1027.5</v>
      </c>
      <c r="AB30" s="26" t="n">
        <v>1028</v>
      </c>
      <c r="AC30" s="25" t="n">
        <f aca="false">ROUND(AA30-AB30,0)</f>
        <v>-0</v>
      </c>
      <c r="AD30" s="14" t="n">
        <f aca="false">0.5*W30</f>
        <v>53.2</v>
      </c>
      <c r="AE30" s="14" t="n">
        <f aca="false">-1*W30</f>
        <v>-106.4</v>
      </c>
      <c r="AF30" s="5" t="str">
        <f aca="false">IF(D30="","OPEN",IF(ROUND(Z30,4)&gt;=0.5,"TARGET",IF(ROUND(Z30,4)&lt;=-1,"STOPLOSS",IF(G30&lt;=15,"TIME","CHECK"))))</f>
        <v>TIME</v>
      </c>
      <c r="AG30" s="5" t="str">
        <f aca="false">AF30</f>
        <v>TIME</v>
      </c>
      <c r="AH30" s="15"/>
      <c r="AI30" s="5" t="s">
        <v>121</v>
      </c>
      <c r="AJ30" s="25" t="n">
        <f aca="false">AJ29+AB30</f>
        <v>5211</v>
      </c>
      <c r="AK30" s="25" t="n">
        <f aca="false">MAX(AK29,AJ30)</f>
        <v>9650</v>
      </c>
      <c r="AL30" s="25" t="n">
        <f aca="false">AJ30-AK30</f>
        <v>-4439</v>
      </c>
      <c r="AM30" s="5" t="n">
        <f aca="false">IF(AB30&gt;0,AM29+1,0)</f>
        <v>1</v>
      </c>
      <c r="AN30" s="5" t="n">
        <f aca="false">IF(AB30&lt;=0,AN29+1,0)</f>
        <v>0</v>
      </c>
    </row>
    <row r="31" customFormat="false" ht="15" hidden="false" customHeight="false" outlineLevel="0" collapsed="false">
      <c r="A31" s="5" t="n">
        <v>30</v>
      </c>
      <c r="B31" s="5" t="str">
        <f aca="false">IF(D31="","OPEN","CLOSED")</f>
        <v>CLOSED</v>
      </c>
      <c r="C31" s="21" t="n">
        <v>45089.4694444445</v>
      </c>
      <c r="D31" s="21" t="n">
        <v>45119.6361111111</v>
      </c>
      <c r="E31" s="22" t="n">
        <v>45134</v>
      </c>
      <c r="F31" s="23" t="n">
        <f aca="false">INT(E31)-INT(C31)</f>
        <v>45</v>
      </c>
      <c r="G31" s="5" t="n">
        <f aca="false">IF(D31="","",INT(E31)-INT(D31))</f>
        <v>15</v>
      </c>
      <c r="H31" s="24" t="n">
        <v>50</v>
      </c>
      <c r="I31" s="24" t="n">
        <v>19100</v>
      </c>
      <c r="J31" s="24" t="n">
        <v>19300</v>
      </c>
      <c r="K31" s="24" t="n">
        <v>18400</v>
      </c>
      <c r="L31" s="24" t="n">
        <v>18200</v>
      </c>
      <c r="M31" s="23" t="n">
        <f aca="false">J31-I31</f>
        <v>200</v>
      </c>
      <c r="N31" s="23" t="n">
        <f aca="false">K31-L31</f>
        <v>200</v>
      </c>
      <c r="O31" s="24" t="n">
        <v>120.7</v>
      </c>
      <c r="P31" s="24" t="n">
        <v>63.1</v>
      </c>
      <c r="Q31" s="24" t="n">
        <v>143</v>
      </c>
      <c r="R31" s="24" t="n">
        <v>96.4</v>
      </c>
      <c r="S31" s="24" t="n">
        <v>403.3</v>
      </c>
      <c r="T31" s="24" t="n">
        <v>246.9</v>
      </c>
      <c r="U31" s="24" t="n">
        <v>8.3</v>
      </c>
      <c r="V31" s="24" t="n">
        <v>5.8</v>
      </c>
      <c r="W31" s="14" t="n">
        <f aca="false">O31+Q31-P31-R31</f>
        <v>104.2</v>
      </c>
      <c r="X31" s="14" t="n">
        <f aca="false">S31+U31-T31-V31</f>
        <v>158.9</v>
      </c>
      <c r="Y31" s="14" t="n">
        <f aca="false">W31-X31</f>
        <v>-54.7</v>
      </c>
      <c r="Z31" s="11" t="n">
        <f aca="false">IF(W31=0,"",Y31/W31)</f>
        <v>-0.524952015355087</v>
      </c>
      <c r="AA31" s="25" t="n">
        <f aca="false">Y31*H31</f>
        <v>-2735</v>
      </c>
      <c r="AB31" s="26" t="n">
        <v>-2736</v>
      </c>
      <c r="AC31" s="25" t="n">
        <f aca="false">ROUND(AA31-AB31,0)</f>
        <v>1</v>
      </c>
      <c r="AD31" s="14" t="n">
        <f aca="false">0.5*W31</f>
        <v>52.1</v>
      </c>
      <c r="AE31" s="14" t="n">
        <f aca="false">-1*W31</f>
        <v>-104.2</v>
      </c>
      <c r="AF31" s="5" t="str">
        <f aca="false">IF(D31="","OPEN",IF(ROUND(Z31,4)&gt;=0.5,"TARGET",IF(ROUND(Z31,4)&lt;=-1,"STOPLOSS",IF(G31&lt;=15,"TIME","CHECK"))))</f>
        <v>TIME</v>
      </c>
      <c r="AG31" s="5" t="str">
        <f aca="false">AF31</f>
        <v>TIME</v>
      </c>
      <c r="AH31" s="15"/>
      <c r="AI31" s="5" t="s">
        <v>122</v>
      </c>
      <c r="AJ31" s="25" t="n">
        <f aca="false">AJ30+AB31</f>
        <v>2475</v>
      </c>
      <c r="AK31" s="25" t="n">
        <f aca="false">MAX(AK30,AJ31)</f>
        <v>9650</v>
      </c>
      <c r="AL31" s="25" t="n">
        <f aca="false">AJ31-AK31</f>
        <v>-7175</v>
      </c>
      <c r="AM31" s="5" t="n">
        <f aca="false">IF(AB31&gt;0,AM30+1,0)</f>
        <v>0</v>
      </c>
      <c r="AN31" s="5" t="n">
        <f aca="false">IF(AB31&lt;=0,AN30+1,0)</f>
        <v>1</v>
      </c>
    </row>
    <row r="32" customFormat="false" ht="15" hidden="false" customHeight="false" outlineLevel="0" collapsed="false">
      <c r="A32" s="5" t="n">
        <v>31</v>
      </c>
      <c r="B32" s="5" t="str">
        <f aca="false">IF(D32="","OPEN","CLOSED")</f>
        <v>CLOSED</v>
      </c>
      <c r="C32" s="21" t="n">
        <v>45124.4694444445</v>
      </c>
      <c r="D32" s="21" t="n">
        <v>45147.6361111111</v>
      </c>
      <c r="E32" s="22" t="n">
        <v>45169</v>
      </c>
      <c r="F32" s="23" t="n">
        <f aca="false">INT(E32)-INT(C32)</f>
        <v>45</v>
      </c>
      <c r="G32" s="5" t="n">
        <f aca="false">IF(D32="","",INT(E32)-INT(D32))</f>
        <v>22</v>
      </c>
      <c r="H32" s="24" t="n">
        <v>50</v>
      </c>
      <c r="I32" s="24" t="n">
        <v>20100</v>
      </c>
      <c r="J32" s="24" t="n">
        <v>20300</v>
      </c>
      <c r="K32" s="24" t="n">
        <v>19350</v>
      </c>
      <c r="L32" s="24" t="n">
        <v>19150</v>
      </c>
      <c r="M32" s="23" t="n">
        <f aca="false">J32-I32</f>
        <v>200</v>
      </c>
      <c r="N32" s="23" t="n">
        <f aca="false">K32-L32</f>
        <v>200</v>
      </c>
      <c r="O32" s="24" t="n">
        <v>129.1</v>
      </c>
      <c r="P32" s="24" t="n">
        <v>72.3</v>
      </c>
      <c r="Q32" s="24" t="n">
        <v>147.7</v>
      </c>
      <c r="R32" s="24" t="n">
        <v>103</v>
      </c>
      <c r="S32" s="24" t="n">
        <v>37.5</v>
      </c>
      <c r="T32" s="24" t="n">
        <v>17.3</v>
      </c>
      <c r="U32" s="24" t="n">
        <v>66.7</v>
      </c>
      <c r="V32" s="24" t="n">
        <v>36.5</v>
      </c>
      <c r="W32" s="14" t="n">
        <f aca="false">O32+Q32-P32-R32</f>
        <v>101.5</v>
      </c>
      <c r="X32" s="14" t="n">
        <f aca="false">S32+U32-T32-V32</f>
        <v>50.4</v>
      </c>
      <c r="Y32" s="14" t="n">
        <f aca="false">W32-X32</f>
        <v>51.0999999999999</v>
      </c>
      <c r="Z32" s="11" t="n">
        <f aca="false">IF(W32=0,"",Y32/W32)</f>
        <v>0.503448275862069</v>
      </c>
      <c r="AA32" s="25" t="n">
        <f aca="false">Y32*H32</f>
        <v>2555</v>
      </c>
      <c r="AB32" s="26" t="n">
        <v>2555</v>
      </c>
      <c r="AC32" s="25" t="n">
        <f aca="false">ROUND(AA32-AB32,0)</f>
        <v>0</v>
      </c>
      <c r="AD32" s="14" t="n">
        <f aca="false">0.5*W32</f>
        <v>50.75</v>
      </c>
      <c r="AE32" s="14" t="n">
        <f aca="false">-1*W32</f>
        <v>-101.5</v>
      </c>
      <c r="AF32" s="5" t="str">
        <f aca="false">IF(D32="","OPEN",IF(ROUND(Z32,4)&gt;=0.5,"TARGET",IF(ROUND(Z32,4)&lt;=-1,"STOPLOSS",IF(G32&lt;=15,"TIME","CHECK"))))</f>
        <v>TARGET</v>
      </c>
      <c r="AG32" s="5" t="str">
        <f aca="false">AF32</f>
        <v>TARGET</v>
      </c>
      <c r="AH32" s="15"/>
      <c r="AI32" s="5" t="s">
        <v>121</v>
      </c>
      <c r="AJ32" s="25" t="n">
        <f aca="false">AJ31+AB32</f>
        <v>5030</v>
      </c>
      <c r="AK32" s="25" t="n">
        <f aca="false">MAX(AK31,AJ32)</f>
        <v>9650</v>
      </c>
      <c r="AL32" s="25" t="n">
        <f aca="false">AJ32-AK32</f>
        <v>-4620</v>
      </c>
      <c r="AM32" s="5" t="n">
        <f aca="false">IF(AB32&gt;0,AM31+1,0)</f>
        <v>1</v>
      </c>
      <c r="AN32" s="5" t="n">
        <f aca="false">IF(AB32&lt;=0,AN31+1,0)</f>
        <v>0</v>
      </c>
    </row>
    <row r="33" customFormat="false" ht="15" hidden="false" customHeight="false" outlineLevel="0" collapsed="false">
      <c r="A33" s="5" t="n">
        <v>32</v>
      </c>
      <c r="B33" s="5" t="str">
        <f aca="false">IF(D33="","OPEN","CLOSED")</f>
        <v>CLOSED</v>
      </c>
      <c r="C33" s="21" t="n">
        <v>45152.4694444445</v>
      </c>
      <c r="D33" s="21" t="n">
        <v>45182.6361111111</v>
      </c>
      <c r="E33" s="22" t="n">
        <v>45197</v>
      </c>
      <c r="F33" s="23" t="n">
        <f aca="false">INT(E33)-INT(C33)</f>
        <v>45</v>
      </c>
      <c r="G33" s="5" t="n">
        <f aca="false">IF(D33="","",INT(E33)-INT(D33))</f>
        <v>15</v>
      </c>
      <c r="H33" s="24" t="n">
        <v>50</v>
      </c>
      <c r="I33" s="24" t="n">
        <v>19800</v>
      </c>
      <c r="J33" s="24" t="n">
        <v>20000</v>
      </c>
      <c r="K33" s="24" t="n">
        <v>19100</v>
      </c>
      <c r="L33" s="24" t="n">
        <v>18900</v>
      </c>
      <c r="M33" s="23" t="n">
        <f aca="false">J33-I33</f>
        <v>200</v>
      </c>
      <c r="N33" s="23" t="n">
        <f aca="false">K33-L33</f>
        <v>200</v>
      </c>
      <c r="O33" s="24" t="n">
        <v>151.7</v>
      </c>
      <c r="P33" s="24" t="n">
        <v>94.5</v>
      </c>
      <c r="Q33" s="24" t="n">
        <v>164.6</v>
      </c>
      <c r="R33" s="24" t="n">
        <v>112.8</v>
      </c>
      <c r="S33" s="24" t="n">
        <v>388</v>
      </c>
      <c r="T33" s="24" t="n">
        <v>238.1</v>
      </c>
      <c r="U33" s="24" t="n">
        <v>20.3</v>
      </c>
      <c r="V33" s="24" t="n">
        <v>15.3</v>
      </c>
      <c r="W33" s="14" t="n">
        <f aca="false">O33+Q33-P33-R33</f>
        <v>109</v>
      </c>
      <c r="X33" s="14" t="n">
        <f aca="false">S33+U33-T33-V33</f>
        <v>154.9</v>
      </c>
      <c r="Y33" s="14" t="n">
        <f aca="false">W33-X33</f>
        <v>-45.9000000000001</v>
      </c>
      <c r="Z33" s="11" t="n">
        <f aca="false">IF(W33=0,"",Y33/W33)</f>
        <v>-0.421100917431193</v>
      </c>
      <c r="AA33" s="25" t="n">
        <f aca="false">Y33*H33</f>
        <v>-2295</v>
      </c>
      <c r="AB33" s="26" t="n">
        <v>-2295</v>
      </c>
      <c r="AC33" s="25" t="n">
        <f aca="false">ROUND(AA33-AB33,0)</f>
        <v>0</v>
      </c>
      <c r="AD33" s="14" t="n">
        <f aca="false">0.5*W33</f>
        <v>54.5</v>
      </c>
      <c r="AE33" s="14" t="n">
        <f aca="false">-1*W33</f>
        <v>-109</v>
      </c>
      <c r="AF33" s="5" t="str">
        <f aca="false">IF(D33="","OPEN",IF(ROUND(Z33,4)&gt;=0.5,"TARGET",IF(ROUND(Z33,4)&lt;=-1,"STOPLOSS",IF(G33&lt;=15,"TIME","CHECK"))))</f>
        <v>TIME</v>
      </c>
      <c r="AG33" s="5" t="str">
        <f aca="false">AF33</f>
        <v>TIME</v>
      </c>
      <c r="AH33" s="15"/>
      <c r="AI33" s="5" t="s">
        <v>121</v>
      </c>
      <c r="AJ33" s="25" t="n">
        <f aca="false">AJ32+AB33</f>
        <v>2735</v>
      </c>
      <c r="AK33" s="25" t="n">
        <f aca="false">MAX(AK32,AJ33)</f>
        <v>9650</v>
      </c>
      <c r="AL33" s="25" t="n">
        <f aca="false">AJ33-AK33</f>
        <v>-6915</v>
      </c>
      <c r="AM33" s="5" t="n">
        <f aca="false">IF(AB33&gt;0,AM32+1,0)</f>
        <v>0</v>
      </c>
      <c r="AN33" s="5" t="n">
        <f aca="false">IF(AB33&lt;=0,AN32+1,0)</f>
        <v>1</v>
      </c>
    </row>
    <row r="34" customFormat="false" ht="15" hidden="false" customHeight="false" outlineLevel="0" collapsed="false">
      <c r="A34" s="5" t="n">
        <v>33</v>
      </c>
      <c r="B34" s="5" t="str">
        <f aca="false">IF(D34="","OPEN","CLOSED")</f>
        <v>CLOSED</v>
      </c>
      <c r="C34" s="21" t="n">
        <v>45180.4694444445</v>
      </c>
      <c r="D34" s="21" t="n">
        <v>45210.6361111111</v>
      </c>
      <c r="E34" s="22" t="n">
        <v>45225</v>
      </c>
      <c r="F34" s="23" t="n">
        <f aca="false">INT(E34)-INT(C34)</f>
        <v>45</v>
      </c>
      <c r="G34" s="5" t="n">
        <f aca="false">IF(D34="","",INT(E34)-INT(D34))</f>
        <v>15</v>
      </c>
      <c r="H34" s="24" t="n">
        <v>50</v>
      </c>
      <c r="I34" s="24" t="n">
        <v>20300</v>
      </c>
      <c r="J34" s="24" t="n">
        <v>20500</v>
      </c>
      <c r="K34" s="24" t="n">
        <v>19700</v>
      </c>
      <c r="L34" s="24" t="n">
        <v>19500</v>
      </c>
      <c r="M34" s="23" t="n">
        <f aca="false">J34-I34</f>
        <v>200</v>
      </c>
      <c r="N34" s="23" t="n">
        <f aca="false">K34-L34</f>
        <v>200</v>
      </c>
      <c r="O34" s="24" t="n">
        <v>171</v>
      </c>
      <c r="P34" s="24" t="n">
        <v>99.5</v>
      </c>
      <c r="Q34" s="24" t="n">
        <v>144.8</v>
      </c>
      <c r="R34" s="24" t="n">
        <v>105.6</v>
      </c>
      <c r="S34" s="24" t="n">
        <v>21.6</v>
      </c>
      <c r="T34" s="24" t="n">
        <v>9.2</v>
      </c>
      <c r="U34" s="24" t="n">
        <v>105.6</v>
      </c>
      <c r="V34" s="24" t="n">
        <v>58.9</v>
      </c>
      <c r="W34" s="14" t="n">
        <f aca="false">O34+Q34-P34-R34</f>
        <v>110.7</v>
      </c>
      <c r="X34" s="14" t="n">
        <f aca="false">S34+U34-T34-V34</f>
        <v>59.1</v>
      </c>
      <c r="Y34" s="14" t="n">
        <f aca="false">W34-X34</f>
        <v>51.6</v>
      </c>
      <c r="Z34" s="11" t="n">
        <f aca="false">IF(W34=0,"",Y34/W34)</f>
        <v>0.466124661246613</v>
      </c>
      <c r="AA34" s="25" t="n">
        <f aca="false">Y34*H34</f>
        <v>2580</v>
      </c>
      <c r="AB34" s="26" t="n">
        <v>2580</v>
      </c>
      <c r="AC34" s="25" t="n">
        <f aca="false">ROUND(AA34-AB34,0)</f>
        <v>0</v>
      </c>
      <c r="AD34" s="14" t="n">
        <f aca="false">0.5*W34</f>
        <v>55.35</v>
      </c>
      <c r="AE34" s="14" t="n">
        <f aca="false">-1*W34</f>
        <v>-110.7</v>
      </c>
      <c r="AF34" s="5" t="str">
        <f aca="false">IF(D34="","OPEN",IF(ROUND(Z34,4)&gt;=0.5,"TARGET",IF(ROUND(Z34,4)&lt;=-1,"STOPLOSS",IF(G34&lt;=15,"TIME","CHECK"))))</f>
        <v>TIME</v>
      </c>
      <c r="AG34" s="5" t="str">
        <f aca="false">AF34</f>
        <v>TIME</v>
      </c>
      <c r="AH34" s="15"/>
      <c r="AI34" s="5" t="s">
        <v>122</v>
      </c>
      <c r="AJ34" s="25" t="n">
        <f aca="false">AJ33+AB34</f>
        <v>5315</v>
      </c>
      <c r="AK34" s="25" t="n">
        <f aca="false">MAX(AK33,AJ34)</f>
        <v>9650</v>
      </c>
      <c r="AL34" s="25" t="n">
        <f aca="false">AJ34-AK34</f>
        <v>-4335</v>
      </c>
      <c r="AM34" s="5" t="n">
        <f aca="false">IF(AB34&gt;0,AM33+1,0)</f>
        <v>1</v>
      </c>
      <c r="AN34" s="5" t="n">
        <f aca="false">IF(AB34&lt;=0,AN33+1,0)</f>
        <v>0</v>
      </c>
    </row>
    <row r="35" customFormat="false" ht="15" hidden="false" customHeight="false" outlineLevel="0" collapsed="false">
      <c r="A35" s="5" t="n">
        <v>34</v>
      </c>
      <c r="B35" s="5" t="str">
        <f aca="false">IF(D35="","OPEN","CLOSED")</f>
        <v>CLOSED</v>
      </c>
      <c r="C35" s="21" t="n">
        <v>45215.4694444445</v>
      </c>
      <c r="D35" s="21" t="n">
        <v>45245.6361111111</v>
      </c>
      <c r="E35" s="22" t="n">
        <v>45260</v>
      </c>
      <c r="F35" s="23" t="n">
        <f aca="false">INT(E35)-INT(C35)</f>
        <v>45</v>
      </c>
      <c r="G35" s="5" t="n">
        <f aca="false">IF(D35="","",INT(E35)-INT(D35))</f>
        <v>15</v>
      </c>
      <c r="H35" s="24" t="n">
        <v>50</v>
      </c>
      <c r="I35" s="24" t="n">
        <v>20200</v>
      </c>
      <c r="J35" s="24" t="n">
        <v>20400</v>
      </c>
      <c r="K35" s="24" t="n">
        <v>19500</v>
      </c>
      <c r="L35" s="24" t="n">
        <v>19300</v>
      </c>
      <c r="M35" s="23" t="n">
        <f aca="false">J35-I35</f>
        <v>200</v>
      </c>
      <c r="N35" s="23" t="n">
        <f aca="false">K35-L35</f>
        <v>200</v>
      </c>
      <c r="O35" s="24" t="n">
        <v>136.3</v>
      </c>
      <c r="P35" s="24" t="n">
        <v>78.2</v>
      </c>
      <c r="Q35" s="24" t="n">
        <v>152.1</v>
      </c>
      <c r="R35" s="24" t="n">
        <v>107.2</v>
      </c>
      <c r="S35" s="24" t="n">
        <v>14.6</v>
      </c>
      <c r="T35" s="24" t="n">
        <v>5.3</v>
      </c>
      <c r="U35" s="24" t="n">
        <v>63.6</v>
      </c>
      <c r="V35" s="24" t="n">
        <v>31.9</v>
      </c>
      <c r="W35" s="14" t="n">
        <f aca="false">O35+Q35-P35-R35</f>
        <v>103</v>
      </c>
      <c r="X35" s="14" t="n">
        <f aca="false">S35+U35-T35-V35</f>
        <v>41</v>
      </c>
      <c r="Y35" s="14" t="n">
        <f aca="false">W35-X35</f>
        <v>62</v>
      </c>
      <c r="Z35" s="11" t="n">
        <f aca="false">IF(W35=0,"",Y35/W35)</f>
        <v>0.601941747572815</v>
      </c>
      <c r="AA35" s="25" t="n">
        <f aca="false">Y35*H35</f>
        <v>3100</v>
      </c>
      <c r="AB35" s="26" t="n">
        <v>3100</v>
      </c>
      <c r="AC35" s="25" t="n">
        <f aca="false">ROUND(AA35-AB35,0)</f>
        <v>0</v>
      </c>
      <c r="AD35" s="14" t="n">
        <f aca="false">0.5*W35</f>
        <v>51.5</v>
      </c>
      <c r="AE35" s="14" t="n">
        <f aca="false">-1*W35</f>
        <v>-103</v>
      </c>
      <c r="AF35" s="5" t="str">
        <f aca="false">IF(D35="","OPEN",IF(ROUND(Z35,4)&gt;=0.5,"TARGET",IF(ROUND(Z35,4)&lt;=-1,"STOPLOSS",IF(G35&lt;=15,"TIME","CHECK"))))</f>
        <v>TARGET</v>
      </c>
      <c r="AG35" s="5" t="str">
        <f aca="false">AF35</f>
        <v>TARGET</v>
      </c>
      <c r="AH35" s="15"/>
      <c r="AI35" s="5" t="s">
        <v>121</v>
      </c>
      <c r="AJ35" s="25" t="n">
        <f aca="false">AJ34+AB35</f>
        <v>8415</v>
      </c>
      <c r="AK35" s="25" t="n">
        <f aca="false">MAX(AK34,AJ35)</f>
        <v>9650</v>
      </c>
      <c r="AL35" s="25" t="n">
        <f aca="false">AJ35-AK35</f>
        <v>-1235</v>
      </c>
      <c r="AM35" s="5" t="n">
        <f aca="false">IF(AB35&gt;0,AM34+1,0)</f>
        <v>2</v>
      </c>
      <c r="AN35" s="5" t="n">
        <f aca="false">IF(AB35&lt;=0,AN34+1,0)</f>
        <v>0</v>
      </c>
    </row>
    <row r="36" customFormat="false" ht="23.85" hidden="false" customHeight="false" outlineLevel="0" collapsed="false">
      <c r="A36" s="5" t="n">
        <v>35</v>
      </c>
      <c r="B36" s="5" t="str">
        <f aca="false">IF(D36="","OPEN","CLOSED")</f>
        <v>CLOSED</v>
      </c>
      <c r="C36" s="21" t="n">
        <v>45243.4694444445</v>
      </c>
      <c r="D36" s="21" t="n">
        <v>45272.6361111111</v>
      </c>
      <c r="E36" s="22" t="n">
        <v>45288</v>
      </c>
      <c r="F36" s="23" t="n">
        <f aca="false">INT(E36)-INT(C36)</f>
        <v>45</v>
      </c>
      <c r="G36" s="5" t="n">
        <f aca="false">IF(D36="","",INT(E36)-INT(D36))</f>
        <v>16</v>
      </c>
      <c r="H36" s="24" t="n">
        <v>50</v>
      </c>
      <c r="I36" s="24" t="n">
        <v>19900</v>
      </c>
      <c r="J36" s="24" t="n">
        <v>20100</v>
      </c>
      <c r="K36" s="24" t="n">
        <v>19200</v>
      </c>
      <c r="L36" s="24" t="n">
        <v>19000</v>
      </c>
      <c r="M36" s="23" t="n">
        <f aca="false">J36-I36</f>
        <v>200</v>
      </c>
      <c r="N36" s="23" t="n">
        <f aca="false">K36-L36</f>
        <v>200</v>
      </c>
      <c r="O36" s="24" t="n">
        <v>136.9</v>
      </c>
      <c r="P36" s="24" t="n">
        <v>78.6</v>
      </c>
      <c r="Q36" s="24" t="n">
        <v>143.7</v>
      </c>
      <c r="R36" s="24" t="n">
        <v>103.2</v>
      </c>
      <c r="S36" s="24" t="n">
        <v>1144.5</v>
      </c>
      <c r="T36" s="24" t="n">
        <v>934.8</v>
      </c>
      <c r="U36" s="24" t="n">
        <v>6.7</v>
      </c>
      <c r="V36" s="24" t="n">
        <v>6.6</v>
      </c>
      <c r="W36" s="14" t="n">
        <f aca="false">O36+Q36-P36-R36</f>
        <v>98.8</v>
      </c>
      <c r="X36" s="14" t="n">
        <f aca="false">S36+U36-T36-V36</f>
        <v>209.8</v>
      </c>
      <c r="Y36" s="14" t="n">
        <f aca="false">W36-X36</f>
        <v>-111</v>
      </c>
      <c r="Z36" s="11" t="n">
        <f aca="false">IF(W36=0,"",Y36/W36)</f>
        <v>-1.12348178137652</v>
      </c>
      <c r="AA36" s="25" t="n">
        <f aca="false">Y36*H36</f>
        <v>-5550</v>
      </c>
      <c r="AB36" s="26" t="n">
        <v>-5550</v>
      </c>
      <c r="AC36" s="25" t="n">
        <f aca="false">ROUND(AA36-AB36,0)</f>
        <v>0</v>
      </c>
      <c r="AD36" s="14" t="n">
        <f aca="false">0.5*W36</f>
        <v>49.4</v>
      </c>
      <c r="AE36" s="14" t="n">
        <f aca="false">-1*W36</f>
        <v>-98.8</v>
      </c>
      <c r="AF36" s="5" t="str">
        <f aca="false">IF(D36="","OPEN",IF(ROUND(Z36,4)&gt;=0.5,"TARGET",IF(ROUND(Z36,4)&lt;=-1,"STOPLOSS",IF(G36&lt;=15,"TIME","CHECK"))))</f>
        <v>STOPLOSS</v>
      </c>
      <c r="AG36" s="5" t="str">
        <f aca="false">AF36</f>
        <v>STOPLOSS</v>
      </c>
      <c r="AH36" s="15" t="s">
        <v>125</v>
      </c>
      <c r="AI36" s="5" t="s">
        <v>122</v>
      </c>
      <c r="AJ36" s="25" t="n">
        <f aca="false">AJ35+AB36</f>
        <v>2865</v>
      </c>
      <c r="AK36" s="25" t="n">
        <f aca="false">MAX(AK35,AJ36)</f>
        <v>9650</v>
      </c>
      <c r="AL36" s="25" t="n">
        <f aca="false">AJ36-AK36</f>
        <v>-6785</v>
      </c>
      <c r="AM36" s="5" t="n">
        <f aca="false">IF(AB36&gt;0,AM35+1,0)</f>
        <v>0</v>
      </c>
      <c r="AN36" s="5" t="n">
        <f aca="false">IF(AB36&lt;=0,AN35+1,0)</f>
        <v>1</v>
      </c>
    </row>
    <row r="37" customFormat="false" ht="15" hidden="false" customHeight="false" outlineLevel="0" collapsed="false">
      <c r="A37" s="5" t="n">
        <v>36</v>
      </c>
      <c r="B37" s="5" t="str">
        <f aca="false">IF(D37="","OPEN","CLOSED")</f>
        <v>CLOSED</v>
      </c>
      <c r="C37" s="21" t="n">
        <v>45271.4694444445</v>
      </c>
      <c r="D37" s="21" t="n">
        <v>45301.6361111111</v>
      </c>
      <c r="E37" s="22" t="n">
        <v>45316</v>
      </c>
      <c r="F37" s="23" t="n">
        <f aca="false">INT(E37)-INT(C37)</f>
        <v>45</v>
      </c>
      <c r="G37" s="5" t="n">
        <f aca="false">IF(D37="","",INT(E37)-INT(D37))</f>
        <v>15</v>
      </c>
      <c r="H37" s="24" t="n">
        <v>50</v>
      </c>
      <c r="I37" s="24" t="n">
        <v>21600</v>
      </c>
      <c r="J37" s="24" t="n">
        <v>21800</v>
      </c>
      <c r="K37" s="24" t="n">
        <v>20750</v>
      </c>
      <c r="L37" s="24" t="n">
        <v>20550</v>
      </c>
      <c r="M37" s="23" t="n">
        <f aca="false">J37-I37</f>
        <v>200</v>
      </c>
      <c r="N37" s="23" t="n">
        <f aca="false">K37-L37</f>
        <v>200</v>
      </c>
      <c r="O37" s="24" t="n">
        <v>172</v>
      </c>
      <c r="P37" s="24" t="n">
        <v>117.8</v>
      </c>
      <c r="Q37" s="24" t="n">
        <v>177.8</v>
      </c>
      <c r="R37" s="24" t="n">
        <v>130</v>
      </c>
      <c r="S37" s="24" t="n">
        <v>274.4</v>
      </c>
      <c r="T37" s="24" t="n">
        <v>166.8</v>
      </c>
      <c r="U37" s="24" t="n">
        <v>19.7</v>
      </c>
      <c r="V37" s="24" t="n">
        <v>13.2</v>
      </c>
      <c r="W37" s="14" t="n">
        <f aca="false">O37+Q37-P37-R37</f>
        <v>102</v>
      </c>
      <c r="X37" s="14" t="n">
        <f aca="false">S37+U37-T37-V37</f>
        <v>114.1</v>
      </c>
      <c r="Y37" s="14" t="n">
        <f aca="false">W37-X37</f>
        <v>-12.1</v>
      </c>
      <c r="Z37" s="11" t="n">
        <f aca="false">IF(W37=0,"",Y37/W37)</f>
        <v>-0.118627450980392</v>
      </c>
      <c r="AA37" s="25" t="n">
        <f aca="false">Y37*H37</f>
        <v>-604.999999999998</v>
      </c>
      <c r="AB37" s="26" t="n">
        <v>-605</v>
      </c>
      <c r="AC37" s="25" t="n">
        <f aca="false">ROUND(AA37-AB37,0)</f>
        <v>0</v>
      </c>
      <c r="AD37" s="14" t="n">
        <f aca="false">0.5*W37</f>
        <v>51</v>
      </c>
      <c r="AE37" s="14" t="n">
        <f aca="false">-1*W37</f>
        <v>-102</v>
      </c>
      <c r="AF37" s="5" t="str">
        <f aca="false">IF(D37="","OPEN",IF(ROUND(Z37,4)&gt;=0.5,"TARGET",IF(ROUND(Z37,4)&lt;=-1,"STOPLOSS",IF(G37&lt;=15,"TIME","CHECK"))))</f>
        <v>TIME</v>
      </c>
      <c r="AG37" s="5" t="str">
        <f aca="false">AF37</f>
        <v>TIME</v>
      </c>
      <c r="AH37" s="15"/>
      <c r="AI37" s="5" t="s">
        <v>122</v>
      </c>
      <c r="AJ37" s="25" t="n">
        <f aca="false">AJ36+AB37</f>
        <v>2260</v>
      </c>
      <c r="AK37" s="25" t="n">
        <f aca="false">MAX(AK36,AJ37)</f>
        <v>9650</v>
      </c>
      <c r="AL37" s="25" t="n">
        <f aca="false">AJ37-AK37</f>
        <v>-7390</v>
      </c>
      <c r="AM37" s="5" t="n">
        <f aca="false">IF(AB37&gt;0,AM36+1,0)</f>
        <v>0</v>
      </c>
      <c r="AN37" s="5" t="n">
        <f aca="false">IF(AB37&lt;=0,AN36+1,0)</f>
        <v>2</v>
      </c>
    </row>
    <row r="38" customFormat="false" ht="15" hidden="false" customHeight="false" outlineLevel="0" collapsed="false">
      <c r="A38" s="5" t="n">
        <v>37</v>
      </c>
      <c r="B38" s="5" t="str">
        <f aca="false">IF(D38="","OPEN","CLOSED")</f>
        <v>CLOSED</v>
      </c>
      <c r="C38" s="21" t="n">
        <v>45306.4694444445</v>
      </c>
      <c r="D38" s="21" t="n">
        <v>45336.6361111111</v>
      </c>
      <c r="E38" s="22" t="n">
        <v>45351</v>
      </c>
      <c r="F38" s="23" t="n">
        <f aca="false">INT(E38)-INT(C38)</f>
        <v>45</v>
      </c>
      <c r="G38" s="5" t="n">
        <f aca="false">IF(D38="","",INT(E38)-INT(D38))</f>
        <v>15</v>
      </c>
      <c r="H38" s="24" t="n">
        <v>50</v>
      </c>
      <c r="I38" s="24" t="n">
        <v>22750</v>
      </c>
      <c r="J38" s="24" t="n">
        <v>22950</v>
      </c>
      <c r="K38" s="24" t="n">
        <v>21600</v>
      </c>
      <c r="L38" s="24" t="n">
        <v>21400</v>
      </c>
      <c r="M38" s="23" t="n">
        <f aca="false">J38-I38</f>
        <v>200</v>
      </c>
      <c r="N38" s="23" t="n">
        <f aca="false">K38-L38</f>
        <v>200</v>
      </c>
      <c r="O38" s="24" t="n">
        <v>174.1</v>
      </c>
      <c r="P38" s="24" t="n">
        <v>121.5</v>
      </c>
      <c r="Q38" s="24" t="n">
        <v>188</v>
      </c>
      <c r="R38" s="24" t="n">
        <v>141.9</v>
      </c>
      <c r="S38" s="24" t="n">
        <v>22.1</v>
      </c>
      <c r="T38" s="24" t="n">
        <v>13.7</v>
      </c>
      <c r="U38" s="24" t="n">
        <v>137</v>
      </c>
      <c r="V38" s="24" t="n">
        <v>86.2</v>
      </c>
      <c r="W38" s="14" t="n">
        <f aca="false">O38+Q38-P38-R38</f>
        <v>98.7</v>
      </c>
      <c r="X38" s="14" t="n">
        <f aca="false">S38+U38-T38-V38</f>
        <v>59.2</v>
      </c>
      <c r="Y38" s="14" t="n">
        <f aca="false">W38-X38</f>
        <v>39.5</v>
      </c>
      <c r="Z38" s="11" t="n">
        <f aca="false">IF(W38=0,"",Y38/W38)</f>
        <v>0.400202634245188</v>
      </c>
      <c r="AA38" s="25" t="n">
        <f aca="false">Y38*H38</f>
        <v>1975</v>
      </c>
      <c r="AB38" s="26" t="n">
        <v>1975</v>
      </c>
      <c r="AC38" s="25" t="n">
        <f aca="false">ROUND(AA38-AB38,0)</f>
        <v>0</v>
      </c>
      <c r="AD38" s="14" t="n">
        <f aca="false">0.5*W38</f>
        <v>49.35</v>
      </c>
      <c r="AE38" s="14" t="n">
        <f aca="false">-1*W38</f>
        <v>-98.7</v>
      </c>
      <c r="AF38" s="5" t="str">
        <f aca="false">IF(D38="","OPEN",IF(ROUND(Z38,4)&gt;=0.5,"TARGET",IF(ROUND(Z38,4)&lt;=-1,"STOPLOSS",IF(G38&lt;=15,"TIME","CHECK"))))</f>
        <v>TIME</v>
      </c>
      <c r="AG38" s="5" t="str">
        <f aca="false">AF38</f>
        <v>TIME</v>
      </c>
      <c r="AH38" s="15"/>
      <c r="AI38" s="5" t="s">
        <v>121</v>
      </c>
      <c r="AJ38" s="25" t="n">
        <f aca="false">AJ37+AB38</f>
        <v>4235</v>
      </c>
      <c r="AK38" s="25" t="n">
        <f aca="false">MAX(AK37,AJ38)</f>
        <v>9650</v>
      </c>
      <c r="AL38" s="25" t="n">
        <f aca="false">AJ38-AK38</f>
        <v>-5415</v>
      </c>
      <c r="AM38" s="5" t="n">
        <f aca="false">IF(AB38&gt;0,AM37+1,0)</f>
        <v>1</v>
      </c>
      <c r="AN38" s="5" t="n">
        <f aca="false">IF(AB38&lt;=0,AN37+1,0)</f>
        <v>0</v>
      </c>
    </row>
    <row r="39" customFormat="false" ht="15" hidden="false" customHeight="false" outlineLevel="0" collapsed="false">
      <c r="A39" s="5" t="n">
        <v>38</v>
      </c>
      <c r="B39" s="5" t="str">
        <f aca="false">IF(D39="","OPEN","CLOSED")</f>
        <v>CLOSED</v>
      </c>
      <c r="C39" s="21" t="n">
        <v>45334.4694444445</v>
      </c>
      <c r="D39" s="21" t="n">
        <v>45364.6361111111</v>
      </c>
      <c r="E39" s="22" t="n">
        <v>45379</v>
      </c>
      <c r="F39" s="23" t="n">
        <f aca="false">INT(E39)-INT(C39)</f>
        <v>45</v>
      </c>
      <c r="G39" s="5" t="n">
        <f aca="false">IF(D39="","",INT(E39)-INT(D39))</f>
        <v>15</v>
      </c>
      <c r="H39" s="24" t="n">
        <v>50</v>
      </c>
      <c r="I39" s="24" t="n">
        <v>22500</v>
      </c>
      <c r="J39" s="24" t="n">
        <v>22700</v>
      </c>
      <c r="K39" s="24" t="n">
        <v>21350</v>
      </c>
      <c r="L39" s="24" t="n">
        <v>21150</v>
      </c>
      <c r="M39" s="23" t="n">
        <f aca="false">J39-I39</f>
        <v>200</v>
      </c>
      <c r="N39" s="23" t="n">
        <f aca="false">K39-L39</f>
        <v>200</v>
      </c>
      <c r="O39" s="24" t="n">
        <v>211</v>
      </c>
      <c r="P39" s="24" t="n">
        <v>154.7</v>
      </c>
      <c r="Q39" s="24" t="n">
        <v>234.1</v>
      </c>
      <c r="R39" s="24" t="n">
        <v>182.3</v>
      </c>
      <c r="S39" s="24" t="n">
        <v>91</v>
      </c>
      <c r="T39" s="24" t="n">
        <v>50.5</v>
      </c>
      <c r="U39" s="24" t="n">
        <v>49.7</v>
      </c>
      <c r="V39" s="24" t="n">
        <v>30.8</v>
      </c>
      <c r="W39" s="14" t="n">
        <f aca="false">O39+Q39-P39-R39</f>
        <v>108.1</v>
      </c>
      <c r="X39" s="14" t="n">
        <f aca="false">S39+U39-T39-V39</f>
        <v>59.4</v>
      </c>
      <c r="Y39" s="14" t="n">
        <f aca="false">W39-X39</f>
        <v>48.7</v>
      </c>
      <c r="Z39" s="11" t="n">
        <f aca="false">IF(W39=0,"",Y39/W39)</f>
        <v>0.450508788159112</v>
      </c>
      <c r="AA39" s="25" t="n">
        <f aca="false">Y39*H39</f>
        <v>2435</v>
      </c>
      <c r="AB39" s="26" t="n">
        <v>2435</v>
      </c>
      <c r="AC39" s="25" t="n">
        <f aca="false">ROUND(AA39-AB39,0)</f>
        <v>0</v>
      </c>
      <c r="AD39" s="14" t="n">
        <f aca="false">0.5*W39</f>
        <v>54.05</v>
      </c>
      <c r="AE39" s="14" t="n">
        <f aca="false">-1*W39</f>
        <v>-108.1</v>
      </c>
      <c r="AF39" s="5" t="str">
        <f aca="false">IF(D39="","OPEN",IF(ROUND(Z39,4)&gt;=0.5,"TARGET",IF(ROUND(Z39,4)&lt;=-1,"STOPLOSS",IF(G39&lt;=15,"TIME","CHECK"))))</f>
        <v>TIME</v>
      </c>
      <c r="AG39" s="5" t="str">
        <f aca="false">AF39</f>
        <v>TIME</v>
      </c>
      <c r="AH39" s="15"/>
      <c r="AI39" s="5" t="s">
        <v>122</v>
      </c>
      <c r="AJ39" s="25" t="n">
        <f aca="false">AJ38+AB39</f>
        <v>6670</v>
      </c>
      <c r="AK39" s="25" t="n">
        <f aca="false">MAX(AK38,AJ39)</f>
        <v>9650</v>
      </c>
      <c r="AL39" s="25" t="n">
        <f aca="false">AJ39-AK39</f>
        <v>-2980</v>
      </c>
      <c r="AM39" s="5" t="n">
        <f aca="false">IF(AB39&gt;0,AM38+1,0)</f>
        <v>2</v>
      </c>
      <c r="AN39" s="5" t="n">
        <f aca="false">IF(AB39&lt;=0,AN38+1,0)</f>
        <v>0</v>
      </c>
    </row>
    <row r="40" customFormat="false" ht="15" hidden="false" customHeight="false" outlineLevel="0" collapsed="false">
      <c r="A40" s="5" t="n">
        <v>39</v>
      </c>
      <c r="B40" s="5" t="str">
        <f aca="false">IF(D40="","OPEN","CLOSED")</f>
        <v>CLOSED</v>
      </c>
      <c r="C40" s="21" t="n">
        <v>45362.4694444445</v>
      </c>
      <c r="D40" s="21" t="n">
        <v>45385.6361111111</v>
      </c>
      <c r="E40" s="22" t="n">
        <v>45407</v>
      </c>
      <c r="F40" s="23" t="n">
        <f aca="false">INT(E40)-INT(C40)</f>
        <v>45</v>
      </c>
      <c r="G40" s="5" t="n">
        <f aca="false">IF(D40="","",INT(E40)-INT(D40))</f>
        <v>22</v>
      </c>
      <c r="H40" s="24" t="n">
        <v>50</v>
      </c>
      <c r="I40" s="24" t="n">
        <v>23200</v>
      </c>
      <c r="J40" s="24" t="n">
        <v>23400</v>
      </c>
      <c r="K40" s="24" t="n">
        <v>22100</v>
      </c>
      <c r="L40" s="24" t="n">
        <v>21900</v>
      </c>
      <c r="M40" s="23" t="n">
        <f aca="false">J40-I40</f>
        <v>200</v>
      </c>
      <c r="N40" s="23" t="n">
        <f aca="false">K40-L40</f>
        <v>200</v>
      </c>
      <c r="O40" s="24" t="n">
        <v>206.6</v>
      </c>
      <c r="P40" s="24" t="n">
        <v>147.3</v>
      </c>
      <c r="Q40" s="24" t="n">
        <v>228.2</v>
      </c>
      <c r="R40" s="24" t="n">
        <v>175.3</v>
      </c>
      <c r="S40" s="24" t="n">
        <v>31.9</v>
      </c>
      <c r="T40" s="24" t="n">
        <v>14</v>
      </c>
      <c r="U40" s="24" t="n">
        <v>97.2</v>
      </c>
      <c r="V40" s="24" t="n">
        <v>59.7</v>
      </c>
      <c r="W40" s="14" t="n">
        <f aca="false">O40+Q40-P40-R40</f>
        <v>112.2</v>
      </c>
      <c r="X40" s="14" t="n">
        <f aca="false">S40+U40-T40-V40</f>
        <v>55.4</v>
      </c>
      <c r="Y40" s="14" t="n">
        <f aca="false">W40-X40</f>
        <v>56.7999999999999</v>
      </c>
      <c r="Z40" s="11" t="n">
        <f aca="false">IF(W40=0,"",Y40/W40)</f>
        <v>0.506238859180035</v>
      </c>
      <c r="AA40" s="25" t="n">
        <f aca="false">Y40*H40</f>
        <v>2840</v>
      </c>
      <c r="AB40" s="26" t="n">
        <v>2840</v>
      </c>
      <c r="AC40" s="25" t="n">
        <f aca="false">ROUND(AA40-AB40,0)</f>
        <v>0</v>
      </c>
      <c r="AD40" s="14" t="n">
        <f aca="false">0.5*W40</f>
        <v>56.1</v>
      </c>
      <c r="AE40" s="14" t="n">
        <f aca="false">-1*W40</f>
        <v>-112.2</v>
      </c>
      <c r="AF40" s="5" t="str">
        <f aca="false">IF(D40="","OPEN",IF(ROUND(Z40,4)&gt;=0.5,"TARGET",IF(ROUND(Z40,4)&lt;=-1,"STOPLOSS",IF(G40&lt;=15,"TIME","CHECK"))))</f>
        <v>TARGET</v>
      </c>
      <c r="AG40" s="5" t="str">
        <f aca="false">AF40</f>
        <v>TARGET</v>
      </c>
      <c r="AH40" s="15"/>
      <c r="AI40" s="5" t="s">
        <v>122</v>
      </c>
      <c r="AJ40" s="25" t="n">
        <f aca="false">AJ39+AB40</f>
        <v>9510</v>
      </c>
      <c r="AK40" s="25" t="n">
        <f aca="false">MAX(AK39,AJ40)</f>
        <v>9650</v>
      </c>
      <c r="AL40" s="25" t="n">
        <f aca="false">AJ40-AK40</f>
        <v>-140</v>
      </c>
      <c r="AM40" s="5" t="n">
        <f aca="false">IF(AB40&gt;0,AM39+1,0)</f>
        <v>3</v>
      </c>
      <c r="AN40" s="5" t="n">
        <f aca="false">IF(AB40&lt;=0,AN39+1,0)</f>
        <v>0</v>
      </c>
    </row>
    <row r="41" customFormat="false" ht="15" hidden="false" customHeight="false" outlineLevel="0" collapsed="false">
      <c r="A41" s="5" t="n">
        <v>40</v>
      </c>
      <c r="B41" s="5" t="str">
        <f aca="false">IF(D41="","OPEN","CLOSED")</f>
        <v>CLOSED</v>
      </c>
      <c r="C41" s="21" t="n">
        <v>45397.4694444445</v>
      </c>
      <c r="D41" s="21" t="n">
        <v>45427.6361111111</v>
      </c>
      <c r="E41" s="22" t="n">
        <v>45442</v>
      </c>
      <c r="F41" s="23" t="n">
        <f aca="false">INT(E41)-INT(C41)</f>
        <v>45</v>
      </c>
      <c r="G41" s="5" t="n">
        <f aca="false">IF(D41="","",INT(E41)-INT(D41))</f>
        <v>15</v>
      </c>
      <c r="H41" s="24" t="n">
        <v>50</v>
      </c>
      <c r="I41" s="24" t="n">
        <v>23100</v>
      </c>
      <c r="J41" s="24" t="n">
        <v>23300</v>
      </c>
      <c r="K41" s="24" t="n">
        <v>22100</v>
      </c>
      <c r="L41" s="24" t="n">
        <v>21900</v>
      </c>
      <c r="M41" s="23" t="n">
        <f aca="false">J41-I41</f>
        <v>200</v>
      </c>
      <c r="N41" s="23" t="n">
        <f aca="false">K41-L41</f>
        <v>200</v>
      </c>
      <c r="O41" s="24" t="n">
        <v>160.8</v>
      </c>
      <c r="P41" s="24" t="n">
        <v>104.3</v>
      </c>
      <c r="Q41" s="24" t="n">
        <v>177.1</v>
      </c>
      <c r="R41" s="24" t="n">
        <v>131.6</v>
      </c>
      <c r="S41" s="24" t="n">
        <v>21.6</v>
      </c>
      <c r="T41" s="24" t="n">
        <v>11.9</v>
      </c>
      <c r="U41" s="24" t="n">
        <v>165</v>
      </c>
      <c r="V41" s="24" t="n">
        <v>105.7</v>
      </c>
      <c r="W41" s="14" t="n">
        <f aca="false">O41+Q41-P41-R41</f>
        <v>102</v>
      </c>
      <c r="X41" s="14" t="n">
        <f aca="false">S41+U41-T41-V41</f>
        <v>69</v>
      </c>
      <c r="Y41" s="14" t="n">
        <f aca="false">W41-X41</f>
        <v>33</v>
      </c>
      <c r="Z41" s="11" t="n">
        <f aca="false">IF(W41=0,"",Y41/W41)</f>
        <v>0.323529411764706</v>
      </c>
      <c r="AA41" s="25" t="n">
        <f aca="false">Y41*H41</f>
        <v>1650</v>
      </c>
      <c r="AB41" s="26" t="n">
        <v>1649</v>
      </c>
      <c r="AC41" s="25" t="n">
        <f aca="false">ROUND(AA41-AB41,0)</f>
        <v>1</v>
      </c>
      <c r="AD41" s="14" t="n">
        <f aca="false">0.5*W41</f>
        <v>51</v>
      </c>
      <c r="AE41" s="14" t="n">
        <f aca="false">-1*W41</f>
        <v>-102</v>
      </c>
      <c r="AF41" s="5" t="str">
        <f aca="false">IF(D41="","OPEN",IF(ROUND(Z41,4)&gt;=0.5,"TARGET",IF(ROUND(Z41,4)&lt;=-1,"STOPLOSS",IF(G41&lt;=15,"TIME","CHECK"))))</f>
        <v>TIME</v>
      </c>
      <c r="AG41" s="5" t="str">
        <f aca="false">AF41</f>
        <v>TIME</v>
      </c>
      <c r="AH41" s="15"/>
      <c r="AI41" s="5" t="s">
        <v>121</v>
      </c>
      <c r="AJ41" s="25" t="n">
        <f aca="false">AJ40+AB41</f>
        <v>11159</v>
      </c>
      <c r="AK41" s="25" t="n">
        <f aca="false">MAX(AK40,AJ41)</f>
        <v>11159</v>
      </c>
      <c r="AL41" s="25" t="n">
        <f aca="false">AJ41-AK41</f>
        <v>0</v>
      </c>
      <c r="AM41" s="5" t="n">
        <f aca="false">IF(AB41&gt;0,AM40+1,0)</f>
        <v>4</v>
      </c>
      <c r="AN41" s="5" t="n">
        <f aca="false">IF(AB41&lt;=0,AN40+1,0)</f>
        <v>0</v>
      </c>
    </row>
    <row r="42" customFormat="false" ht="15" hidden="false" customHeight="false" outlineLevel="0" collapsed="false">
      <c r="A42" s="5" t="n">
        <v>41</v>
      </c>
      <c r="B42" s="5" t="str">
        <f aca="false">IF(D42="","OPEN","CLOSED")</f>
        <v>CLOSED</v>
      </c>
      <c r="C42" s="21" t="n">
        <v>45425.4694444445</v>
      </c>
      <c r="D42" s="21" t="n">
        <v>45455.6361111111</v>
      </c>
      <c r="E42" s="22" t="n">
        <v>45470</v>
      </c>
      <c r="F42" s="23" t="n">
        <f aca="false">INT(E42)-INT(C42)</f>
        <v>45</v>
      </c>
      <c r="G42" s="5" t="n">
        <f aca="false">IF(D42="","",INT(E42)-INT(D42))</f>
        <v>15</v>
      </c>
      <c r="H42" s="24" t="n">
        <v>50</v>
      </c>
      <c r="I42" s="24" t="n">
        <v>23000</v>
      </c>
      <c r="J42" s="24" t="n">
        <v>23200</v>
      </c>
      <c r="K42" s="24" t="n">
        <v>21300</v>
      </c>
      <c r="L42" s="24" t="n">
        <v>21100</v>
      </c>
      <c r="M42" s="23" t="n">
        <f aca="false">J42-I42</f>
        <v>200</v>
      </c>
      <c r="N42" s="23" t="n">
        <f aca="false">K42-L42</f>
        <v>200</v>
      </c>
      <c r="O42" s="24" t="n">
        <v>285.2</v>
      </c>
      <c r="P42" s="24" t="n">
        <v>225.5</v>
      </c>
      <c r="Q42" s="24" t="n">
        <v>346.9</v>
      </c>
      <c r="R42" s="24" t="n">
        <v>295.9</v>
      </c>
      <c r="S42" s="24" t="n">
        <v>472.4</v>
      </c>
      <c r="T42" s="24" t="n">
        <v>335.4</v>
      </c>
      <c r="U42" s="24" t="n">
        <v>7.3</v>
      </c>
      <c r="V42" s="24" t="n">
        <v>6.2</v>
      </c>
      <c r="W42" s="14" t="n">
        <f aca="false">O42+Q42-P42-R42</f>
        <v>110.7</v>
      </c>
      <c r="X42" s="14" t="n">
        <f aca="false">S42+U42-T42-V42</f>
        <v>138.1</v>
      </c>
      <c r="Y42" s="14" t="n">
        <f aca="false">W42-X42</f>
        <v>-27.4000000000001</v>
      </c>
      <c r="Z42" s="11" t="n">
        <f aca="false">IF(W42=0,"",Y42/W42)</f>
        <v>-0.247515808491419</v>
      </c>
      <c r="AA42" s="25" t="n">
        <f aca="false">Y42*H42</f>
        <v>-1370</v>
      </c>
      <c r="AB42" s="26" t="n">
        <v>-1370</v>
      </c>
      <c r="AC42" s="25" t="n">
        <f aca="false">ROUND(AA42-AB42,0)</f>
        <v>0</v>
      </c>
      <c r="AD42" s="14" t="n">
        <f aca="false">0.5*W42</f>
        <v>55.35</v>
      </c>
      <c r="AE42" s="14" t="n">
        <f aca="false">-1*W42</f>
        <v>-110.7</v>
      </c>
      <c r="AF42" s="5" t="str">
        <f aca="false">IF(D42="","OPEN",IF(ROUND(Z42,4)&gt;=0.5,"TARGET",IF(ROUND(Z42,4)&lt;=-1,"STOPLOSS",IF(G42&lt;=15,"TIME","CHECK"))))</f>
        <v>TIME</v>
      </c>
      <c r="AG42" s="5" t="str">
        <f aca="false">AF42</f>
        <v>TIME</v>
      </c>
      <c r="AH42" s="15"/>
      <c r="AI42" s="5" t="s">
        <v>122</v>
      </c>
      <c r="AJ42" s="25" t="n">
        <f aca="false">AJ41+AB42</f>
        <v>9789</v>
      </c>
      <c r="AK42" s="25" t="n">
        <f aca="false">MAX(AK41,AJ42)</f>
        <v>11159</v>
      </c>
      <c r="AL42" s="25" t="n">
        <f aca="false">AJ42-AK42</f>
        <v>-1370</v>
      </c>
      <c r="AM42" s="5" t="n">
        <f aca="false">IF(AB42&gt;0,AM41+1,0)</f>
        <v>0</v>
      </c>
      <c r="AN42" s="5" t="n">
        <f aca="false">IF(AB42&lt;=0,AN41+1,0)</f>
        <v>1</v>
      </c>
    </row>
    <row r="43" customFormat="false" ht="15" hidden="false" customHeight="false" outlineLevel="0" collapsed="false">
      <c r="A43" s="5" t="n">
        <v>42</v>
      </c>
      <c r="B43" s="5" t="str">
        <f aca="false">IF(D43="","OPEN","CLOSED")</f>
        <v>CLOSED</v>
      </c>
      <c r="C43" s="21" t="n">
        <v>45453.4694444445</v>
      </c>
      <c r="D43" s="21" t="n">
        <v>45483.6361111111</v>
      </c>
      <c r="E43" s="22" t="n">
        <v>45498</v>
      </c>
      <c r="F43" s="23" t="n">
        <f aca="false">INT(E43)-INT(C43)</f>
        <v>45</v>
      </c>
      <c r="G43" s="5" t="n">
        <f aca="false">IF(D43="","",INT(E43)-INT(D43))</f>
        <v>15</v>
      </c>
      <c r="H43" s="24" t="n">
        <v>50</v>
      </c>
      <c r="I43" s="24" t="n">
        <v>24100</v>
      </c>
      <c r="J43" s="24" t="n">
        <v>24300</v>
      </c>
      <c r="K43" s="24" t="n">
        <v>22800</v>
      </c>
      <c r="L43" s="24" t="n">
        <v>22600</v>
      </c>
      <c r="M43" s="23" t="n">
        <f aca="false">J43-I43</f>
        <v>200</v>
      </c>
      <c r="N43" s="23" t="n">
        <f aca="false">K43-L43</f>
        <v>200</v>
      </c>
      <c r="O43" s="24" t="n">
        <v>222.1</v>
      </c>
      <c r="P43" s="24" t="n">
        <v>161.1</v>
      </c>
      <c r="Q43" s="24" t="n">
        <v>255.4</v>
      </c>
      <c r="R43" s="24" t="n">
        <v>207.3</v>
      </c>
      <c r="S43" s="24" t="n">
        <v>426</v>
      </c>
      <c r="T43" s="24" t="n">
        <v>308</v>
      </c>
      <c r="U43" s="24" t="n">
        <v>13.5</v>
      </c>
      <c r="V43" s="24" t="n">
        <v>10.7</v>
      </c>
      <c r="W43" s="14" t="n">
        <f aca="false">O43+Q43-P43-R43</f>
        <v>109.1</v>
      </c>
      <c r="X43" s="14" t="n">
        <f aca="false">S43+U43-T43-V43</f>
        <v>120.8</v>
      </c>
      <c r="Y43" s="14" t="n">
        <f aca="false">W43-X43</f>
        <v>-11.7</v>
      </c>
      <c r="Z43" s="11" t="n">
        <f aca="false">IF(W43=0,"",Y43/W43)</f>
        <v>-0.10724106324473</v>
      </c>
      <c r="AA43" s="25" t="n">
        <f aca="false">Y43*H43</f>
        <v>-585.000000000002</v>
      </c>
      <c r="AB43" s="26" t="n">
        <v>-585</v>
      </c>
      <c r="AC43" s="25" t="n">
        <f aca="false">ROUND(AA43-AB43,0)</f>
        <v>0</v>
      </c>
      <c r="AD43" s="14" t="n">
        <f aca="false">0.5*W43</f>
        <v>54.55</v>
      </c>
      <c r="AE43" s="14" t="n">
        <f aca="false">-1*W43</f>
        <v>-109.1</v>
      </c>
      <c r="AF43" s="5" t="str">
        <f aca="false">IF(D43="","OPEN",IF(ROUND(Z43,4)&gt;=0.5,"TARGET",IF(ROUND(Z43,4)&lt;=-1,"STOPLOSS",IF(G43&lt;=15,"TIME","CHECK"))))</f>
        <v>TIME</v>
      </c>
      <c r="AG43" s="5" t="str">
        <f aca="false">AF43</f>
        <v>TIME</v>
      </c>
      <c r="AH43" s="15"/>
      <c r="AI43" s="5" t="s">
        <v>122</v>
      </c>
      <c r="AJ43" s="25" t="n">
        <f aca="false">AJ42+AB43</f>
        <v>9204</v>
      </c>
      <c r="AK43" s="25" t="n">
        <f aca="false">MAX(AK42,AJ43)</f>
        <v>11159</v>
      </c>
      <c r="AL43" s="25" t="n">
        <f aca="false">AJ43-AK43</f>
        <v>-1955</v>
      </c>
      <c r="AM43" s="5" t="n">
        <f aca="false">IF(AB43&gt;0,AM42+1,0)</f>
        <v>0</v>
      </c>
      <c r="AN43" s="5" t="n">
        <f aca="false">IF(AB43&lt;=0,AN42+1,0)</f>
        <v>2</v>
      </c>
    </row>
    <row r="44" customFormat="false" ht="15" hidden="false" customHeight="false" outlineLevel="0" collapsed="false">
      <c r="A44" s="5" t="n">
        <v>43</v>
      </c>
      <c r="B44" s="5" t="str">
        <f aca="false">IF(D44="","OPEN","CLOSED")</f>
        <v>CLOSED</v>
      </c>
      <c r="C44" s="21" t="n">
        <v>45488.4694444445</v>
      </c>
      <c r="D44" s="21" t="n">
        <v>45518.6361111111</v>
      </c>
      <c r="E44" s="22" t="n">
        <v>45533</v>
      </c>
      <c r="F44" s="23" t="n">
        <f aca="false">INT(E44)-INT(C44)</f>
        <v>45</v>
      </c>
      <c r="G44" s="5" t="n">
        <f aca="false">IF(D44="","",INT(E44)-INT(D44))</f>
        <v>15</v>
      </c>
      <c r="H44" s="24" t="n">
        <v>50</v>
      </c>
      <c r="I44" s="24" t="n">
        <v>25300</v>
      </c>
      <c r="J44" s="24" t="n">
        <v>25500</v>
      </c>
      <c r="K44" s="24" t="n">
        <v>24100</v>
      </c>
      <c r="L44" s="24" t="n">
        <v>23900</v>
      </c>
      <c r="M44" s="23" t="n">
        <f aca="false">J44-I44</f>
        <v>200</v>
      </c>
      <c r="N44" s="23" t="n">
        <f aca="false">K44-L44</f>
        <v>200</v>
      </c>
      <c r="O44" s="24" t="n">
        <v>207.5</v>
      </c>
      <c r="P44" s="24" t="n">
        <v>150</v>
      </c>
      <c r="Q44" s="24" t="n">
        <v>231</v>
      </c>
      <c r="R44" s="24" t="n">
        <v>183</v>
      </c>
      <c r="S44" s="24" t="n">
        <v>8.8</v>
      </c>
      <c r="T44" s="24" t="n">
        <v>6.3</v>
      </c>
      <c r="U44" s="24" t="n">
        <v>229.7</v>
      </c>
      <c r="V44" s="24" t="n">
        <v>162</v>
      </c>
      <c r="W44" s="14" t="n">
        <f aca="false">O44+Q44-P44-R44</f>
        <v>105.5</v>
      </c>
      <c r="X44" s="14" t="n">
        <f aca="false">S44+U44-T44-V44</f>
        <v>70.2</v>
      </c>
      <c r="Y44" s="14" t="n">
        <f aca="false">W44-X44</f>
        <v>35.3</v>
      </c>
      <c r="Z44" s="11" t="n">
        <f aca="false">IF(W44=0,"",Y44/W44)</f>
        <v>0.334597156398104</v>
      </c>
      <c r="AA44" s="25" t="n">
        <f aca="false">Y44*H44</f>
        <v>1765</v>
      </c>
      <c r="AB44" s="26" t="n">
        <v>1766</v>
      </c>
      <c r="AC44" s="25" t="n">
        <f aca="false">ROUND(AA44-AB44,0)</f>
        <v>-1</v>
      </c>
      <c r="AD44" s="14" t="n">
        <f aca="false">0.5*W44</f>
        <v>52.75</v>
      </c>
      <c r="AE44" s="14" t="n">
        <f aca="false">-1*W44</f>
        <v>-105.5</v>
      </c>
      <c r="AF44" s="5" t="str">
        <f aca="false">IF(D44="","OPEN",IF(ROUND(Z44,4)&gt;=0.5,"TARGET",IF(ROUND(Z44,4)&lt;=-1,"STOPLOSS",IF(G44&lt;=15,"TIME","CHECK"))))</f>
        <v>TIME</v>
      </c>
      <c r="AG44" s="5" t="str">
        <f aca="false">AF44</f>
        <v>TIME</v>
      </c>
      <c r="AH44" s="15"/>
      <c r="AI44" s="5" t="s">
        <v>121</v>
      </c>
      <c r="AJ44" s="25" t="n">
        <f aca="false">AJ43+AB44</f>
        <v>10970</v>
      </c>
      <c r="AK44" s="25" t="n">
        <f aca="false">MAX(AK43,AJ44)</f>
        <v>11159</v>
      </c>
      <c r="AL44" s="25" t="n">
        <f aca="false">AJ44-AK44</f>
        <v>-189</v>
      </c>
      <c r="AM44" s="5" t="n">
        <f aca="false">IF(AB44&gt;0,AM43+1,0)</f>
        <v>1</v>
      </c>
      <c r="AN44" s="5" t="n">
        <f aca="false">IF(AB44&lt;=0,AN43+1,0)</f>
        <v>0</v>
      </c>
    </row>
    <row r="45" customFormat="false" ht="15" hidden="false" customHeight="false" outlineLevel="0" collapsed="false">
      <c r="A45" s="5" t="n">
        <v>44</v>
      </c>
      <c r="B45" s="5" t="str">
        <f aca="false">IF(D45="","OPEN","CLOSED")</f>
        <v>CLOSED</v>
      </c>
      <c r="C45" s="21" t="n">
        <v>45516.4694444445</v>
      </c>
      <c r="D45" s="21" t="n">
        <v>45546.6361111111</v>
      </c>
      <c r="E45" s="22" t="n">
        <v>45561</v>
      </c>
      <c r="F45" s="23" t="n">
        <f aca="false">INT(E45)-INT(C45)</f>
        <v>45</v>
      </c>
      <c r="G45" s="5" t="n">
        <f aca="false">IF(D45="","",INT(E45)-INT(D45))</f>
        <v>15</v>
      </c>
      <c r="H45" s="24" t="n">
        <v>50</v>
      </c>
      <c r="I45" s="24" t="n">
        <v>25200</v>
      </c>
      <c r="J45" s="24" t="n">
        <v>25400</v>
      </c>
      <c r="K45" s="24" t="n">
        <v>24000</v>
      </c>
      <c r="L45" s="24" t="n">
        <v>23800</v>
      </c>
      <c r="M45" s="23" t="n">
        <f aca="false">J45-I45</f>
        <v>200</v>
      </c>
      <c r="N45" s="23" t="n">
        <f aca="false">K45-L45</f>
        <v>200</v>
      </c>
      <c r="O45" s="24" t="n">
        <v>223.5</v>
      </c>
      <c r="P45" s="24" t="n">
        <v>162.9</v>
      </c>
      <c r="Q45" s="24" t="n">
        <v>260</v>
      </c>
      <c r="R45" s="24" t="n">
        <v>211.9</v>
      </c>
      <c r="S45" s="24" t="n">
        <v>135.2</v>
      </c>
      <c r="T45" s="24" t="n">
        <v>74.8</v>
      </c>
      <c r="U45" s="24" t="n">
        <v>43.8</v>
      </c>
      <c r="V45" s="24" t="n">
        <v>30.2</v>
      </c>
      <c r="W45" s="14" t="n">
        <f aca="false">O45+Q45-P45-R45</f>
        <v>108.7</v>
      </c>
      <c r="X45" s="14" t="n">
        <f aca="false">S45+U45-T45-V45</f>
        <v>74</v>
      </c>
      <c r="Y45" s="14" t="n">
        <f aca="false">W45-X45</f>
        <v>34.7</v>
      </c>
      <c r="Z45" s="11" t="n">
        <f aca="false">IF(W45=0,"",Y45/W45)</f>
        <v>0.319227230910764</v>
      </c>
      <c r="AA45" s="25" t="n">
        <f aca="false">Y45*H45</f>
        <v>1735</v>
      </c>
      <c r="AB45" s="26" t="n">
        <v>1735</v>
      </c>
      <c r="AC45" s="25" t="n">
        <f aca="false">ROUND(AA45-AB45,0)</f>
        <v>0</v>
      </c>
      <c r="AD45" s="14" t="n">
        <f aca="false">0.5*W45</f>
        <v>54.35</v>
      </c>
      <c r="AE45" s="14" t="n">
        <f aca="false">-1*W45</f>
        <v>-108.7</v>
      </c>
      <c r="AF45" s="5" t="str">
        <f aca="false">IF(D45="","OPEN",IF(ROUND(Z45,4)&gt;=0.5,"TARGET",IF(ROUND(Z45,4)&lt;=-1,"STOPLOSS",IF(G45&lt;=15,"TIME","CHECK"))))</f>
        <v>TIME</v>
      </c>
      <c r="AG45" s="5" t="str">
        <f aca="false">AF45</f>
        <v>TIME</v>
      </c>
      <c r="AH45" s="15"/>
      <c r="AI45" s="5" t="s">
        <v>122</v>
      </c>
      <c r="AJ45" s="25" t="n">
        <f aca="false">AJ44+AB45</f>
        <v>12705</v>
      </c>
      <c r="AK45" s="25" t="n">
        <f aca="false">MAX(AK44,AJ45)</f>
        <v>12705</v>
      </c>
      <c r="AL45" s="25" t="n">
        <f aca="false">AJ45-AK45</f>
        <v>0</v>
      </c>
      <c r="AM45" s="5" t="n">
        <f aca="false">IF(AB45&gt;0,AM44+1,0)</f>
        <v>2</v>
      </c>
      <c r="AN45" s="5" t="n">
        <f aca="false">IF(AB45&lt;=0,AN44+1,0)</f>
        <v>0</v>
      </c>
    </row>
    <row r="46" customFormat="false" ht="15" hidden="false" customHeight="false" outlineLevel="0" collapsed="false">
      <c r="A46" s="5" t="n">
        <v>45</v>
      </c>
      <c r="B46" s="5" t="str">
        <f aca="false">IF(D46="","OPEN","CLOSED")</f>
        <v>CLOSED</v>
      </c>
      <c r="C46" s="21" t="n">
        <v>45551.4694444445</v>
      </c>
      <c r="D46" s="21" t="n">
        <v>45581.6361111111</v>
      </c>
      <c r="E46" s="22" t="n">
        <v>45596</v>
      </c>
      <c r="F46" s="23" t="n">
        <f aca="false">INT(E46)-INT(C46)</f>
        <v>45</v>
      </c>
      <c r="G46" s="5" t="n">
        <f aca="false">IF(D46="","",INT(E46)-INT(D46))</f>
        <v>15</v>
      </c>
      <c r="H46" s="24" t="n">
        <v>50</v>
      </c>
      <c r="I46" s="24" t="n">
        <v>26050</v>
      </c>
      <c r="J46" s="24" t="n">
        <v>26250</v>
      </c>
      <c r="K46" s="24" t="n">
        <v>25000</v>
      </c>
      <c r="L46" s="24" t="n">
        <v>24800</v>
      </c>
      <c r="M46" s="23" t="n">
        <f aca="false">J46-I46</f>
        <v>200</v>
      </c>
      <c r="N46" s="23" t="n">
        <f aca="false">K46-L46</f>
        <v>200</v>
      </c>
      <c r="O46" s="24" t="n">
        <v>187.4</v>
      </c>
      <c r="P46" s="24" t="n">
        <v>137.1</v>
      </c>
      <c r="Q46" s="24" t="n">
        <v>226.2</v>
      </c>
      <c r="R46" s="24" t="n">
        <v>179.3</v>
      </c>
      <c r="S46" s="24" t="n">
        <v>13.8</v>
      </c>
      <c r="T46" s="24" t="n">
        <v>9.6</v>
      </c>
      <c r="U46" s="24" t="n">
        <v>207</v>
      </c>
      <c r="V46" s="24" t="n">
        <v>135.1</v>
      </c>
      <c r="W46" s="14" t="n">
        <f aca="false">O46+Q46-P46-R46</f>
        <v>97.2</v>
      </c>
      <c r="X46" s="14" t="n">
        <f aca="false">S46+U46-T46-V46</f>
        <v>76.1</v>
      </c>
      <c r="Y46" s="14" t="n">
        <f aca="false">W46-X46</f>
        <v>21.1</v>
      </c>
      <c r="Z46" s="11" t="n">
        <f aca="false">IF(W46=0,"",Y46/W46)</f>
        <v>0.217078189300411</v>
      </c>
      <c r="AA46" s="25" t="n">
        <f aca="false">Y46*H46</f>
        <v>1055</v>
      </c>
      <c r="AB46" s="26" t="n">
        <v>1055</v>
      </c>
      <c r="AC46" s="25" t="n">
        <f aca="false">ROUND(AA46-AB46,0)</f>
        <v>0</v>
      </c>
      <c r="AD46" s="14" t="n">
        <f aca="false">0.5*W46</f>
        <v>48.6</v>
      </c>
      <c r="AE46" s="14" t="n">
        <f aca="false">-1*W46</f>
        <v>-97.2</v>
      </c>
      <c r="AF46" s="5" t="str">
        <f aca="false">IF(D46="","OPEN",IF(ROUND(Z46,4)&gt;=0.5,"TARGET",IF(ROUND(Z46,4)&lt;=-1,"STOPLOSS",IF(G46&lt;=15,"TIME","CHECK"))))</f>
        <v>TIME</v>
      </c>
      <c r="AG46" s="5" t="str">
        <f aca="false">AF46</f>
        <v>TIME</v>
      </c>
      <c r="AH46" s="15"/>
      <c r="AI46" s="5" t="s">
        <v>121</v>
      </c>
      <c r="AJ46" s="25" t="n">
        <f aca="false">AJ45+AB46</f>
        <v>13760</v>
      </c>
      <c r="AK46" s="25" t="n">
        <f aca="false">MAX(AK45,AJ46)</f>
        <v>13760</v>
      </c>
      <c r="AL46" s="25" t="n">
        <f aca="false">AJ46-AK46</f>
        <v>0</v>
      </c>
      <c r="AM46" s="5" t="n">
        <f aca="false">IF(AB46&gt;0,AM45+1,0)</f>
        <v>3</v>
      </c>
      <c r="AN46" s="5" t="n">
        <f aca="false">IF(AB46&lt;=0,AN45+1,0)</f>
        <v>0</v>
      </c>
    </row>
    <row r="47" customFormat="false" ht="15" hidden="false" customHeight="false" outlineLevel="0" collapsed="false">
      <c r="A47" s="5" t="n">
        <v>46</v>
      </c>
      <c r="B47" s="5" t="str">
        <f aca="false">IF(D47="","OPEN","CLOSED")</f>
        <v>CLOSED</v>
      </c>
      <c r="C47" s="21" t="n">
        <v>45579.4694444445</v>
      </c>
      <c r="D47" s="21" t="n">
        <v>45609.6361111111</v>
      </c>
      <c r="E47" s="22" t="n">
        <v>45624</v>
      </c>
      <c r="F47" s="23" t="n">
        <f aca="false">INT(E47)-INT(C47)</f>
        <v>45</v>
      </c>
      <c r="G47" s="5" t="n">
        <f aca="false">IF(D47="","",INT(E47)-INT(D47))</f>
        <v>15</v>
      </c>
      <c r="H47" s="24" t="n">
        <v>50</v>
      </c>
      <c r="I47" s="24" t="n">
        <v>26000</v>
      </c>
      <c r="J47" s="24" t="n">
        <v>26200</v>
      </c>
      <c r="K47" s="24" t="n">
        <v>24700</v>
      </c>
      <c r="L47" s="24" t="n">
        <v>24500</v>
      </c>
      <c r="M47" s="23" t="n">
        <f aca="false">J47-I47</f>
        <v>200</v>
      </c>
      <c r="N47" s="23" t="n">
        <f aca="false">K47-L47</f>
        <v>200</v>
      </c>
      <c r="O47" s="24" t="n">
        <v>192.2</v>
      </c>
      <c r="P47" s="24" t="n">
        <v>132.4</v>
      </c>
      <c r="Q47" s="24" t="n">
        <v>230.2</v>
      </c>
      <c r="R47" s="24" t="n">
        <v>185.1</v>
      </c>
      <c r="S47" s="24" t="n">
        <v>6.5</v>
      </c>
      <c r="T47" s="24" t="n">
        <v>6</v>
      </c>
      <c r="U47" s="24" t="n">
        <v>1068</v>
      </c>
      <c r="V47" s="24" t="n">
        <v>858.7</v>
      </c>
      <c r="W47" s="14" t="n">
        <f aca="false">O47+Q47-P47-R47</f>
        <v>104.9</v>
      </c>
      <c r="X47" s="14" t="n">
        <f aca="false">S47+U47-T47-V47</f>
        <v>209.8</v>
      </c>
      <c r="Y47" s="14" t="n">
        <f aca="false">W47-X47</f>
        <v>-104.9</v>
      </c>
      <c r="Z47" s="11" t="n">
        <f aca="false">IF(W47=0,"",Y47/W47)</f>
        <v>-0.999999999999999</v>
      </c>
      <c r="AA47" s="25" t="n">
        <f aca="false">Y47*H47</f>
        <v>-5245</v>
      </c>
      <c r="AB47" s="26" t="n">
        <v>-5245</v>
      </c>
      <c r="AC47" s="25" t="n">
        <f aca="false">ROUND(AA47-AB47,0)</f>
        <v>0</v>
      </c>
      <c r="AD47" s="14" t="n">
        <f aca="false">0.5*W47</f>
        <v>52.45</v>
      </c>
      <c r="AE47" s="14" t="n">
        <f aca="false">-1*W47</f>
        <v>-104.9</v>
      </c>
      <c r="AF47" s="5" t="str">
        <f aca="false">IF(D47="","OPEN",IF(ROUND(Z47,4)&gt;=0.5,"TARGET",IF(ROUND(Z47,4)&lt;=-1,"STOPLOSS",IF(G47&lt;=15,"TIME","CHECK"))))</f>
        <v>STOPLOSS</v>
      </c>
      <c r="AG47" s="5" t="str">
        <f aca="false">AF47</f>
        <v>STOPLOSS</v>
      </c>
      <c r="AH47" s="15"/>
      <c r="AI47" s="5" t="s">
        <v>122</v>
      </c>
      <c r="AJ47" s="25" t="n">
        <f aca="false">AJ46+AB47</f>
        <v>8515</v>
      </c>
      <c r="AK47" s="25" t="n">
        <f aca="false">MAX(AK46,AJ47)</f>
        <v>13760</v>
      </c>
      <c r="AL47" s="25" t="n">
        <f aca="false">AJ47-AK47</f>
        <v>-5245</v>
      </c>
      <c r="AM47" s="5" t="n">
        <f aca="false">IF(AB47&gt;0,AM46+1,0)</f>
        <v>0</v>
      </c>
      <c r="AN47" s="5" t="n">
        <f aca="false">IF(AB47&lt;=0,AN46+1,0)</f>
        <v>1</v>
      </c>
    </row>
    <row r="48" customFormat="false" ht="15" hidden="false" customHeight="false" outlineLevel="0" collapsed="false">
      <c r="A48" s="5" t="n">
        <v>47</v>
      </c>
      <c r="B48" s="5" t="str">
        <f aca="false">IF(D48="","OPEN","CLOSED")</f>
        <v>CLOSED</v>
      </c>
      <c r="C48" s="21" t="n">
        <v>45607.4694444445</v>
      </c>
      <c r="D48" s="21" t="n">
        <v>45637.6361111111</v>
      </c>
      <c r="E48" s="22" t="n">
        <v>45652</v>
      </c>
      <c r="F48" s="23" t="n">
        <f aca="false">INT(E48)-INT(C48)</f>
        <v>45</v>
      </c>
      <c r="G48" s="5" t="n">
        <f aca="false">IF(D48="","",INT(E48)-INT(D48))</f>
        <v>15</v>
      </c>
      <c r="H48" s="24" t="n">
        <v>50</v>
      </c>
      <c r="I48" s="24" t="n">
        <v>25100</v>
      </c>
      <c r="J48" s="24" t="n">
        <v>25300</v>
      </c>
      <c r="K48" s="24" t="n">
        <v>23900</v>
      </c>
      <c r="L48" s="24" t="n">
        <v>23700</v>
      </c>
      <c r="M48" s="23" t="n">
        <f aca="false">J48-I48</f>
        <v>200</v>
      </c>
      <c r="N48" s="23" t="n">
        <f aca="false">K48-L48</f>
        <v>200</v>
      </c>
      <c r="O48" s="24" t="n">
        <v>195.7</v>
      </c>
      <c r="P48" s="24" t="n">
        <v>137.5</v>
      </c>
      <c r="Q48" s="24" t="n">
        <v>214.2</v>
      </c>
      <c r="R48" s="24" t="n">
        <v>170</v>
      </c>
      <c r="S48" s="24" t="n">
        <v>100.6</v>
      </c>
      <c r="T48" s="24" t="n">
        <v>53.2</v>
      </c>
      <c r="U48" s="24" t="n">
        <v>44</v>
      </c>
      <c r="V48" s="24" t="n">
        <v>28.5</v>
      </c>
      <c r="W48" s="14" t="n">
        <f aca="false">O48+Q48-P48-R48</f>
        <v>102.4</v>
      </c>
      <c r="X48" s="14" t="n">
        <f aca="false">S48+U48-T48-V48</f>
        <v>62.9</v>
      </c>
      <c r="Y48" s="14" t="n">
        <f aca="false">W48-X48</f>
        <v>39.5</v>
      </c>
      <c r="Z48" s="11" t="n">
        <f aca="false">IF(W48=0,"",Y48/W48)</f>
        <v>0.3857421875</v>
      </c>
      <c r="AA48" s="25" t="n">
        <f aca="false">Y48*H48</f>
        <v>1975</v>
      </c>
      <c r="AB48" s="26" t="n">
        <v>1975</v>
      </c>
      <c r="AC48" s="25" t="n">
        <f aca="false">ROUND(AA48-AB48,0)</f>
        <v>0</v>
      </c>
      <c r="AD48" s="14" t="n">
        <f aca="false">0.5*W48</f>
        <v>51.2</v>
      </c>
      <c r="AE48" s="14" t="n">
        <f aca="false">-1*W48</f>
        <v>-102.4</v>
      </c>
      <c r="AF48" s="5" t="str">
        <f aca="false">IF(D48="","OPEN",IF(ROUND(Z48,4)&gt;=0.5,"TARGET",IF(ROUND(Z48,4)&lt;=-1,"STOPLOSS",IF(G48&lt;=15,"TIME","CHECK"))))</f>
        <v>TIME</v>
      </c>
      <c r="AG48" s="5" t="str">
        <f aca="false">AF48</f>
        <v>TIME</v>
      </c>
      <c r="AH48" s="15"/>
      <c r="AI48" s="5" t="s">
        <v>122</v>
      </c>
      <c r="AJ48" s="25" t="n">
        <f aca="false">AJ47+AB48</f>
        <v>10490</v>
      </c>
      <c r="AK48" s="25" t="n">
        <f aca="false">MAX(AK47,AJ48)</f>
        <v>13760</v>
      </c>
      <c r="AL48" s="25" t="n">
        <f aca="false">AJ48-AK48</f>
        <v>-3270</v>
      </c>
      <c r="AM48" s="5" t="n">
        <f aca="false">IF(AB48&gt;0,AM47+1,0)</f>
        <v>1</v>
      </c>
      <c r="AN48" s="5" t="n">
        <f aca="false">IF(AB48&lt;=0,AN47+1,0)</f>
        <v>0</v>
      </c>
    </row>
    <row r="49" customFormat="false" ht="15" hidden="false" customHeight="false" outlineLevel="0" collapsed="false">
      <c r="A49" s="5" t="n">
        <v>48</v>
      </c>
      <c r="B49" s="5" t="str">
        <f aca="false">IF(D49="","OPEN","CLOSED")</f>
        <v>CLOSED</v>
      </c>
      <c r="C49" s="21" t="n">
        <v>45642.4694444445</v>
      </c>
      <c r="D49" s="21" t="n">
        <v>45672.6361111111</v>
      </c>
      <c r="E49" s="22" t="n">
        <v>45687</v>
      </c>
      <c r="F49" s="23" t="n">
        <f aca="false">INT(E49)-INT(C49)</f>
        <v>45</v>
      </c>
      <c r="G49" s="5" t="n">
        <f aca="false">IF(D49="","",INT(E49)-INT(D49))</f>
        <v>15</v>
      </c>
      <c r="H49" s="24" t="n">
        <v>50</v>
      </c>
      <c r="I49" s="24" t="n">
        <v>25500</v>
      </c>
      <c r="J49" s="24" t="n">
        <v>25700</v>
      </c>
      <c r="K49" s="24" t="n">
        <v>24200</v>
      </c>
      <c r="L49" s="24" t="n">
        <v>24000</v>
      </c>
      <c r="M49" s="23" t="n">
        <f aca="false">J49-I49</f>
        <v>200</v>
      </c>
      <c r="N49" s="23" t="n">
        <f aca="false">K49-L49</f>
        <v>200</v>
      </c>
      <c r="O49" s="24" t="n">
        <v>211.7</v>
      </c>
      <c r="P49" s="24" t="n">
        <v>155.1</v>
      </c>
      <c r="Q49" s="24" t="n">
        <v>225.3</v>
      </c>
      <c r="R49" s="24" t="n">
        <v>180</v>
      </c>
      <c r="S49" s="24" t="n">
        <v>4.5</v>
      </c>
      <c r="T49" s="24" t="n">
        <v>4.4</v>
      </c>
      <c r="U49" s="24" t="n">
        <v>953.7</v>
      </c>
      <c r="V49" s="24" t="n">
        <v>767.1</v>
      </c>
      <c r="W49" s="14" t="n">
        <f aca="false">O49+Q49-P49-R49</f>
        <v>101.9</v>
      </c>
      <c r="X49" s="14" t="n">
        <f aca="false">S49+U49-T49-V49</f>
        <v>186.7</v>
      </c>
      <c r="Y49" s="14" t="n">
        <f aca="false">W49-X49</f>
        <v>-84.8000000000001</v>
      </c>
      <c r="Z49" s="11" t="n">
        <f aca="false">IF(W49=0,"",Y49/W49)</f>
        <v>-0.832188420019628</v>
      </c>
      <c r="AA49" s="25" t="n">
        <f aca="false">Y49*H49</f>
        <v>-4240</v>
      </c>
      <c r="AB49" s="26" t="n">
        <v>-4239</v>
      </c>
      <c r="AC49" s="25" t="n">
        <f aca="false">ROUND(AA49-AB49,0)</f>
        <v>-1</v>
      </c>
      <c r="AD49" s="14" t="n">
        <f aca="false">0.5*W49</f>
        <v>50.95</v>
      </c>
      <c r="AE49" s="14" t="n">
        <f aca="false">-1*W49</f>
        <v>-101.9</v>
      </c>
      <c r="AF49" s="5" t="str">
        <f aca="false">IF(D49="","OPEN",IF(ROUND(Z49,4)&gt;=0.5,"TARGET",IF(ROUND(Z49,4)&lt;=-1,"STOPLOSS",IF(G49&lt;=15,"TIME","CHECK"))))</f>
        <v>TIME</v>
      </c>
      <c r="AG49" s="5" t="str">
        <f aca="false">AF49</f>
        <v>TIME</v>
      </c>
      <c r="AH49" s="15"/>
      <c r="AI49" s="5" t="s">
        <v>121</v>
      </c>
      <c r="AJ49" s="25" t="n">
        <f aca="false">AJ48+AB49</f>
        <v>6251</v>
      </c>
      <c r="AK49" s="25" t="n">
        <f aca="false">MAX(AK48,AJ49)</f>
        <v>13760</v>
      </c>
      <c r="AL49" s="25" t="n">
        <f aca="false">AJ49-AK49</f>
        <v>-7509</v>
      </c>
      <c r="AM49" s="5" t="n">
        <f aca="false">IF(AB49&gt;0,AM48+1,0)</f>
        <v>0</v>
      </c>
      <c r="AN49" s="5" t="n">
        <f aca="false">IF(AB49&lt;=0,AN48+1,0)</f>
        <v>1</v>
      </c>
    </row>
    <row r="50" customFormat="false" ht="15" hidden="false" customHeight="false" outlineLevel="0" collapsed="false">
      <c r="A50" s="5" t="n">
        <v>49</v>
      </c>
      <c r="B50" s="5" t="str">
        <f aca="false">IF(D50="","OPEN","CLOSED")</f>
        <v>CLOSED</v>
      </c>
      <c r="C50" s="21" t="n">
        <v>45670.4694444445</v>
      </c>
      <c r="D50" s="21" t="n">
        <v>45698.6361111111</v>
      </c>
      <c r="E50" s="22" t="n">
        <v>45715</v>
      </c>
      <c r="F50" s="23" t="n">
        <f aca="false">INT(E50)-INT(C50)</f>
        <v>45</v>
      </c>
      <c r="G50" s="5" t="n">
        <f aca="false">IF(D50="","",INT(E50)-INT(D50))</f>
        <v>17</v>
      </c>
      <c r="H50" s="24" t="n">
        <v>75</v>
      </c>
      <c r="I50" s="24" t="n">
        <v>24100</v>
      </c>
      <c r="J50" s="24" t="n">
        <v>24300</v>
      </c>
      <c r="K50" s="24" t="n">
        <v>22800</v>
      </c>
      <c r="L50" s="24" t="n">
        <v>22600</v>
      </c>
      <c r="M50" s="23" t="n">
        <f aca="false">J50-I50</f>
        <v>200</v>
      </c>
      <c r="N50" s="23" t="n">
        <f aca="false">K50-L50</f>
        <v>200</v>
      </c>
      <c r="O50" s="24" t="n">
        <v>245.5</v>
      </c>
      <c r="P50" s="24" t="n">
        <v>189</v>
      </c>
      <c r="Q50" s="24" t="n">
        <v>263.6</v>
      </c>
      <c r="R50" s="24" t="n">
        <v>215.5</v>
      </c>
      <c r="S50" s="24" t="n">
        <v>54.9</v>
      </c>
      <c r="T50" s="24" t="n">
        <v>30.3</v>
      </c>
      <c r="U50" s="24" t="n">
        <v>76.3</v>
      </c>
      <c r="V50" s="24" t="n">
        <v>49.8</v>
      </c>
      <c r="W50" s="14" t="n">
        <f aca="false">O50+Q50-P50-R50</f>
        <v>104.6</v>
      </c>
      <c r="X50" s="14" t="n">
        <f aca="false">S50+U50-T50-V50</f>
        <v>51.1</v>
      </c>
      <c r="Y50" s="14" t="n">
        <f aca="false">W50-X50</f>
        <v>53.5</v>
      </c>
      <c r="Z50" s="11" t="n">
        <f aca="false">IF(W50=0,"",Y50/W50)</f>
        <v>0.511472275334608</v>
      </c>
      <c r="AA50" s="25" t="n">
        <f aca="false">Y50*H50</f>
        <v>4012.5</v>
      </c>
      <c r="AB50" s="26" t="n">
        <v>4013</v>
      </c>
      <c r="AC50" s="25" t="n">
        <f aca="false">ROUND(AA50-AB50,0)</f>
        <v>-0</v>
      </c>
      <c r="AD50" s="14" t="n">
        <f aca="false">0.5*W50</f>
        <v>52.3</v>
      </c>
      <c r="AE50" s="14" t="n">
        <f aca="false">-1*W50</f>
        <v>-104.6</v>
      </c>
      <c r="AF50" s="5" t="str">
        <f aca="false">IF(D50="","OPEN",IF(ROUND(Z50,4)&gt;=0.5,"TARGET",IF(ROUND(Z50,4)&lt;=-1,"STOPLOSS",IF(G50&lt;=15,"TIME","CHECK"))))</f>
        <v>TARGET</v>
      </c>
      <c r="AG50" s="5" t="str">
        <f aca="false">AF50</f>
        <v>TARGET</v>
      </c>
      <c r="AH50" s="15"/>
      <c r="AI50" s="5" t="s">
        <v>122</v>
      </c>
      <c r="AJ50" s="25" t="n">
        <f aca="false">AJ49+AB50</f>
        <v>10264</v>
      </c>
      <c r="AK50" s="25" t="n">
        <f aca="false">MAX(AK49,AJ50)</f>
        <v>13760</v>
      </c>
      <c r="AL50" s="25" t="n">
        <f aca="false">AJ50-AK50</f>
        <v>-3496</v>
      </c>
      <c r="AM50" s="5" t="n">
        <f aca="false">IF(AB50&gt;0,AM49+1,0)</f>
        <v>1</v>
      </c>
      <c r="AN50" s="5" t="n">
        <f aca="false">IF(AB50&lt;=0,AN49+1,0)</f>
        <v>0</v>
      </c>
    </row>
    <row r="51" customFormat="false" ht="15" hidden="false" customHeight="false" outlineLevel="0" collapsed="false">
      <c r="A51" s="5" t="n">
        <v>50</v>
      </c>
      <c r="B51" s="5" t="str">
        <f aca="false">IF(D51="","OPEN","CLOSED")</f>
        <v>CLOSED</v>
      </c>
      <c r="C51" s="21" t="n">
        <v>45698.4694444445</v>
      </c>
      <c r="D51" s="21" t="n">
        <v>45728.6361111111</v>
      </c>
      <c r="E51" s="22" t="n">
        <v>45743</v>
      </c>
      <c r="F51" s="23" t="n">
        <f aca="false">INT(E51)-INT(C51)</f>
        <v>45</v>
      </c>
      <c r="G51" s="5" t="n">
        <f aca="false">IF(D51="","",INT(E51)-INT(D51))</f>
        <v>15</v>
      </c>
      <c r="H51" s="24" t="n">
        <v>75</v>
      </c>
      <c r="I51" s="24" t="n">
        <v>24200</v>
      </c>
      <c r="J51" s="24" t="n">
        <v>24400</v>
      </c>
      <c r="K51" s="24" t="n">
        <v>23000</v>
      </c>
      <c r="L51" s="24" t="n">
        <v>22800</v>
      </c>
      <c r="M51" s="23" t="n">
        <f aca="false">J51-I51</f>
        <v>200</v>
      </c>
      <c r="N51" s="23" t="n">
        <f aca="false">K51-L51</f>
        <v>200</v>
      </c>
      <c r="O51" s="24" t="n">
        <v>200.1</v>
      </c>
      <c r="P51" s="24" t="n">
        <v>146</v>
      </c>
      <c r="Q51" s="24" t="n">
        <v>227.9</v>
      </c>
      <c r="R51" s="24" t="n">
        <v>176.1</v>
      </c>
      <c r="S51" s="24" t="n">
        <v>3</v>
      </c>
      <c r="T51" s="24" t="n">
        <v>2.6</v>
      </c>
      <c r="U51" s="24" t="n">
        <v>530.5</v>
      </c>
      <c r="V51" s="24" t="n">
        <v>384.8</v>
      </c>
      <c r="W51" s="14" t="n">
        <f aca="false">O51+Q51-P51-R51</f>
        <v>105.9</v>
      </c>
      <c r="X51" s="14" t="n">
        <f aca="false">S51+U51-T51-V51</f>
        <v>146.1</v>
      </c>
      <c r="Y51" s="14" t="n">
        <f aca="false">W51-X51</f>
        <v>-40.2</v>
      </c>
      <c r="Z51" s="11" t="n">
        <f aca="false">IF(W51=0,"",Y51/W51)</f>
        <v>-0.379603399433427</v>
      </c>
      <c r="AA51" s="25" t="n">
        <f aca="false">Y51*H51</f>
        <v>-3015</v>
      </c>
      <c r="AB51" s="26" t="n">
        <v>-3016</v>
      </c>
      <c r="AC51" s="25" t="n">
        <f aca="false">ROUND(AA51-AB51,0)</f>
        <v>1</v>
      </c>
      <c r="AD51" s="14" t="n">
        <f aca="false">0.5*W51</f>
        <v>52.95</v>
      </c>
      <c r="AE51" s="14" t="n">
        <f aca="false">-1*W51</f>
        <v>-105.9</v>
      </c>
      <c r="AF51" s="5" t="str">
        <f aca="false">IF(D51="","OPEN",IF(ROUND(Z51,4)&gt;=0.5,"TARGET",IF(ROUND(Z51,4)&lt;=-1,"STOPLOSS",IF(G51&lt;=15,"TIME","CHECK"))))</f>
        <v>TIME</v>
      </c>
      <c r="AG51" s="5" t="str">
        <f aca="false">AF51</f>
        <v>TIME</v>
      </c>
      <c r="AH51" s="15"/>
      <c r="AI51" s="5" t="s">
        <v>122</v>
      </c>
      <c r="AJ51" s="25" t="n">
        <f aca="false">AJ50+AB51</f>
        <v>7248</v>
      </c>
      <c r="AK51" s="25" t="n">
        <f aca="false">MAX(AK50,AJ51)</f>
        <v>13760</v>
      </c>
      <c r="AL51" s="25" t="n">
        <f aca="false">AJ51-AK51</f>
        <v>-6512</v>
      </c>
      <c r="AM51" s="5" t="n">
        <f aca="false">IF(AB51&gt;0,AM50+1,0)</f>
        <v>0</v>
      </c>
      <c r="AN51" s="5" t="n">
        <f aca="false">IF(AB51&lt;=0,AN50+1,0)</f>
        <v>1</v>
      </c>
    </row>
    <row r="52" customFormat="false" ht="15" hidden="false" customHeight="false" outlineLevel="0" collapsed="false">
      <c r="A52" s="5" t="n">
        <v>51</v>
      </c>
      <c r="B52" s="5" t="str">
        <f aca="false">IF(D52="","OPEN","CLOSED")</f>
        <v>CLOSED</v>
      </c>
      <c r="C52" s="21" t="n">
        <v>45726.4694444445</v>
      </c>
      <c r="D52" s="21" t="n">
        <v>45756.6361111111</v>
      </c>
      <c r="E52" s="22" t="n">
        <v>45771</v>
      </c>
      <c r="F52" s="23" t="n">
        <f aca="false">INT(E52)-INT(C52)</f>
        <v>45</v>
      </c>
      <c r="G52" s="5" t="n">
        <f aca="false">IF(D52="","",INT(E52)-INT(D52))</f>
        <v>15</v>
      </c>
      <c r="H52" s="24" t="n">
        <v>75</v>
      </c>
      <c r="I52" s="24" t="n">
        <v>23400</v>
      </c>
      <c r="J52" s="24" t="n">
        <v>23600</v>
      </c>
      <c r="K52" s="24" t="n">
        <v>22200</v>
      </c>
      <c r="L52" s="24" t="n">
        <v>22000</v>
      </c>
      <c r="M52" s="23" t="n">
        <f aca="false">J52-I52</f>
        <v>200</v>
      </c>
      <c r="N52" s="23" t="n">
        <f aca="false">K52-L52</f>
        <v>200</v>
      </c>
      <c r="O52" s="24" t="n">
        <v>182</v>
      </c>
      <c r="P52" s="24" t="n">
        <v>129</v>
      </c>
      <c r="Q52" s="24" t="n">
        <v>200.6</v>
      </c>
      <c r="R52" s="24" t="n">
        <v>160.3</v>
      </c>
      <c r="S52" s="24" t="n">
        <v>76.6</v>
      </c>
      <c r="T52" s="24" t="n">
        <v>51.1</v>
      </c>
      <c r="U52" s="24" t="n">
        <v>305.9</v>
      </c>
      <c r="V52" s="24" t="n">
        <v>248.8</v>
      </c>
      <c r="W52" s="14" t="n">
        <f aca="false">O52+Q52-P52-R52</f>
        <v>93.3</v>
      </c>
      <c r="X52" s="14" t="n">
        <f aca="false">S52+U52-T52-V52</f>
        <v>82.6</v>
      </c>
      <c r="Y52" s="14" t="n">
        <f aca="false">W52-X52</f>
        <v>10.7</v>
      </c>
      <c r="Z52" s="11" t="n">
        <f aca="false">IF(W52=0,"",Y52/W52)</f>
        <v>0.114683815648446</v>
      </c>
      <c r="AA52" s="25" t="n">
        <f aca="false">Y52*H52</f>
        <v>802.500000000003</v>
      </c>
      <c r="AB52" s="26" t="n">
        <v>803</v>
      </c>
      <c r="AC52" s="25" t="n">
        <f aca="false">ROUND(AA52-AB52,0)</f>
        <v>-0</v>
      </c>
      <c r="AD52" s="14" t="n">
        <f aca="false">0.5*W52</f>
        <v>46.65</v>
      </c>
      <c r="AE52" s="14" t="n">
        <f aca="false">-1*W52</f>
        <v>-93.3</v>
      </c>
      <c r="AF52" s="5" t="str">
        <f aca="false">IF(D52="","OPEN",IF(ROUND(Z52,4)&gt;=0.5,"TARGET",IF(ROUND(Z52,4)&lt;=-1,"STOPLOSS",IF(G52&lt;=15,"TIME","CHECK"))))</f>
        <v>TIME</v>
      </c>
      <c r="AG52" s="5" t="str">
        <f aca="false">AF52</f>
        <v>TIME</v>
      </c>
      <c r="AH52" s="15"/>
      <c r="AI52" s="5" t="s">
        <v>122</v>
      </c>
      <c r="AJ52" s="25" t="n">
        <f aca="false">AJ51+AB52</f>
        <v>8051</v>
      </c>
      <c r="AK52" s="25" t="n">
        <f aca="false">MAX(AK51,AJ52)</f>
        <v>13760</v>
      </c>
      <c r="AL52" s="25" t="n">
        <f aca="false">AJ52-AK52</f>
        <v>-5709</v>
      </c>
      <c r="AM52" s="5" t="n">
        <f aca="false">IF(AB52&gt;0,AM51+1,0)</f>
        <v>1</v>
      </c>
      <c r="AN52" s="5" t="n">
        <f aca="false">IF(AB52&lt;=0,AN51+1,0)</f>
        <v>0</v>
      </c>
    </row>
    <row r="53" customFormat="false" ht="15" hidden="false" customHeight="false" outlineLevel="0" collapsed="false">
      <c r="A53" s="5" t="n">
        <v>52</v>
      </c>
      <c r="B53" s="5" t="str">
        <f aca="false">IF(D53="","OPEN","CLOSED")</f>
        <v>CLOSED</v>
      </c>
      <c r="C53" s="21" t="n">
        <v>45762.4694444445</v>
      </c>
      <c r="D53" s="21" t="n">
        <v>45791.6361111111</v>
      </c>
      <c r="E53" s="22" t="n">
        <v>45806</v>
      </c>
      <c r="F53" s="23" t="n">
        <f aca="false">INT(E53)-INT(C53)</f>
        <v>44</v>
      </c>
      <c r="G53" s="5" t="n">
        <f aca="false">IF(D53="","",INT(E53)-INT(D53))</f>
        <v>15</v>
      </c>
      <c r="H53" s="24" t="n">
        <v>75</v>
      </c>
      <c r="I53" s="24" t="n">
        <v>24100</v>
      </c>
      <c r="J53" s="24" t="n">
        <v>24300</v>
      </c>
      <c r="K53" s="24" t="n">
        <v>22800</v>
      </c>
      <c r="L53" s="24" t="n">
        <v>22600</v>
      </c>
      <c r="M53" s="23" t="n">
        <f aca="false">J53-I53</f>
        <v>200</v>
      </c>
      <c r="N53" s="23" t="n">
        <f aca="false">K53-L53</f>
        <v>200</v>
      </c>
      <c r="O53" s="24" t="n">
        <v>207.2</v>
      </c>
      <c r="P53" s="24" t="n">
        <v>154.3</v>
      </c>
      <c r="Q53" s="24" t="n">
        <v>265</v>
      </c>
      <c r="R53" s="24" t="n">
        <v>223.4</v>
      </c>
      <c r="S53" s="24" t="n">
        <v>712</v>
      </c>
      <c r="T53" s="24" t="n">
        <v>557.5</v>
      </c>
      <c r="U53" s="24" t="n">
        <v>19.4</v>
      </c>
      <c r="V53" s="24" t="n">
        <v>16.6</v>
      </c>
      <c r="W53" s="14" t="n">
        <f aca="false">O53+Q53-P53-R53</f>
        <v>94.5</v>
      </c>
      <c r="X53" s="14" t="n">
        <f aca="false">S53+U53-T53-V53</f>
        <v>157.3</v>
      </c>
      <c r="Y53" s="14" t="n">
        <f aca="false">W53-X53</f>
        <v>-62.8</v>
      </c>
      <c r="Z53" s="11" t="n">
        <f aca="false">IF(W53=0,"",Y53/W53)</f>
        <v>-0.664550264550265</v>
      </c>
      <c r="AA53" s="25" t="n">
        <f aca="false">Y53*H53</f>
        <v>-4710</v>
      </c>
      <c r="AB53" s="26" t="n">
        <v>-4710</v>
      </c>
      <c r="AC53" s="25" t="n">
        <f aca="false">ROUND(AA53-AB53,0)</f>
        <v>0</v>
      </c>
      <c r="AD53" s="14" t="n">
        <f aca="false">0.5*W53</f>
        <v>47.25</v>
      </c>
      <c r="AE53" s="14" t="n">
        <f aca="false">-1*W53</f>
        <v>-94.5</v>
      </c>
      <c r="AF53" s="5" t="str">
        <f aca="false">IF(D53="","OPEN",IF(ROUND(Z53,4)&gt;=0.5,"TARGET",IF(ROUND(Z53,4)&lt;=-1,"STOPLOSS",IF(G53&lt;=15,"TIME","CHECK"))))</f>
        <v>TIME</v>
      </c>
      <c r="AG53" s="5" t="str">
        <f aca="false">AF53</f>
        <v>TIME</v>
      </c>
      <c r="AH53" s="15"/>
      <c r="AI53" s="5" t="s">
        <v>121</v>
      </c>
      <c r="AJ53" s="25" t="n">
        <f aca="false">AJ52+AB53</f>
        <v>3341</v>
      </c>
      <c r="AK53" s="25" t="n">
        <f aca="false">MAX(AK52,AJ53)</f>
        <v>13760</v>
      </c>
      <c r="AL53" s="25" t="n">
        <f aca="false">AJ53-AK53</f>
        <v>-10419</v>
      </c>
      <c r="AM53" s="5" t="n">
        <f aca="false">IF(AB53&gt;0,AM52+1,0)</f>
        <v>0</v>
      </c>
      <c r="AN53" s="5" t="n">
        <f aca="false">IF(AB53&lt;=0,AN52+1,0)</f>
        <v>1</v>
      </c>
    </row>
    <row r="54" customFormat="false" ht="15" hidden="false" customHeight="false" outlineLevel="0" collapsed="false">
      <c r="A54" s="5" t="n">
        <v>53</v>
      </c>
      <c r="B54" s="5" t="str">
        <f aca="false">IF(D54="","OPEN","CLOSED")</f>
        <v>CLOSED</v>
      </c>
      <c r="C54" s="21" t="n">
        <v>45789.4694444445</v>
      </c>
      <c r="D54" s="21" t="n">
        <v>45819.6361111111</v>
      </c>
      <c r="E54" s="22" t="n">
        <v>45834</v>
      </c>
      <c r="F54" s="23" t="n">
        <f aca="false">INT(E54)-INT(C54)</f>
        <v>45</v>
      </c>
      <c r="G54" s="5" t="n">
        <f aca="false">IF(D54="","",INT(E54)-INT(D54))</f>
        <v>15</v>
      </c>
      <c r="H54" s="24" t="n">
        <v>75</v>
      </c>
      <c r="I54" s="24" t="n">
        <v>25550</v>
      </c>
      <c r="J54" s="24" t="n">
        <v>25750</v>
      </c>
      <c r="K54" s="24" t="n">
        <v>24200</v>
      </c>
      <c r="L54" s="24" t="n">
        <v>24000</v>
      </c>
      <c r="M54" s="23" t="n">
        <f aca="false">J54-I54</f>
        <v>200</v>
      </c>
      <c r="N54" s="23" t="n">
        <f aca="false">K54-L54</f>
        <v>200</v>
      </c>
      <c r="O54" s="24" t="n">
        <v>227.2</v>
      </c>
      <c r="P54" s="24" t="n">
        <v>171.2</v>
      </c>
      <c r="Q54" s="24" t="n">
        <v>276.9</v>
      </c>
      <c r="R54" s="24" t="n">
        <v>239.9</v>
      </c>
      <c r="S54" s="24" t="n">
        <v>121</v>
      </c>
      <c r="T54" s="24" t="n">
        <v>67.9</v>
      </c>
      <c r="U54" s="24" t="n">
        <v>30.3</v>
      </c>
      <c r="V54" s="24" t="n">
        <v>21.4</v>
      </c>
      <c r="W54" s="14" t="n">
        <f aca="false">O54+Q54-P54-R54</f>
        <v>93</v>
      </c>
      <c r="X54" s="14" t="n">
        <f aca="false">S54+U54-T54-V54</f>
        <v>62</v>
      </c>
      <c r="Y54" s="14" t="n">
        <f aca="false">W54-X54</f>
        <v>31</v>
      </c>
      <c r="Z54" s="11" t="n">
        <f aca="false">IF(W54=0,"",Y54/W54)</f>
        <v>0.333333333333333</v>
      </c>
      <c r="AA54" s="25" t="n">
        <f aca="false">Y54*H54</f>
        <v>2325</v>
      </c>
      <c r="AB54" s="26" t="n">
        <v>2326</v>
      </c>
      <c r="AC54" s="25" t="n">
        <f aca="false">ROUND(AA54-AB54,0)</f>
        <v>-1</v>
      </c>
      <c r="AD54" s="14" t="n">
        <f aca="false">0.5*W54</f>
        <v>46.5</v>
      </c>
      <c r="AE54" s="14" t="n">
        <f aca="false">-1*W54</f>
        <v>-93</v>
      </c>
      <c r="AF54" s="5" t="str">
        <f aca="false">IF(D54="","OPEN",IF(ROUND(Z54,4)&gt;=0.5,"TARGET",IF(ROUND(Z54,4)&lt;=-1,"STOPLOSS",IF(G54&lt;=15,"TIME","CHECK"))))</f>
        <v>TIME</v>
      </c>
      <c r="AG54" s="5" t="str">
        <f aca="false">AF54</f>
        <v>TIME</v>
      </c>
      <c r="AH54" s="15"/>
      <c r="AI54" s="5" t="s">
        <v>122</v>
      </c>
      <c r="AJ54" s="25" t="n">
        <f aca="false">AJ53+AB54</f>
        <v>5667</v>
      </c>
      <c r="AK54" s="25" t="n">
        <f aca="false">MAX(AK53,AJ54)</f>
        <v>13760</v>
      </c>
      <c r="AL54" s="25" t="n">
        <f aca="false">AJ54-AK54</f>
        <v>-8093</v>
      </c>
      <c r="AM54" s="5" t="n">
        <f aca="false">IF(AB54&gt;0,AM53+1,0)</f>
        <v>1</v>
      </c>
      <c r="AN54" s="5" t="n">
        <f aca="false">IF(AB54&lt;=0,AN53+1,0)</f>
        <v>0</v>
      </c>
    </row>
    <row r="55" customFormat="false" ht="15" hidden="false" customHeight="false" outlineLevel="0" collapsed="false">
      <c r="A55" s="5" t="n">
        <v>54</v>
      </c>
      <c r="B55" s="5" t="str">
        <f aca="false">IF(D55="","OPEN","CLOSED")</f>
        <v>CLOSED</v>
      </c>
      <c r="C55" s="21" t="n">
        <v>45824.4694444445</v>
      </c>
      <c r="D55" s="21" t="n">
        <v>45849.6361111111</v>
      </c>
      <c r="E55" s="22" t="n">
        <v>45869</v>
      </c>
      <c r="F55" s="23" t="n">
        <f aca="false">INT(E55)-INT(C55)</f>
        <v>45</v>
      </c>
      <c r="G55" s="5" t="n">
        <f aca="false">IF(D55="","",INT(E55)-INT(D55))</f>
        <v>20</v>
      </c>
      <c r="H55" s="24" t="n">
        <v>75</v>
      </c>
      <c r="I55" s="24" t="n">
        <v>25700</v>
      </c>
      <c r="J55" s="24" t="n">
        <v>25900</v>
      </c>
      <c r="K55" s="24" t="n">
        <v>24400</v>
      </c>
      <c r="L55" s="24" t="n">
        <v>24200</v>
      </c>
      <c r="M55" s="23" t="n">
        <f aca="false">J55-I55</f>
        <v>200</v>
      </c>
      <c r="N55" s="23" t="n">
        <f aca="false">K55-L55</f>
        <v>200</v>
      </c>
      <c r="O55" s="24" t="n">
        <v>228.4</v>
      </c>
      <c r="P55" s="24" t="n">
        <v>168.8</v>
      </c>
      <c r="Q55" s="24" t="n">
        <v>248.2</v>
      </c>
      <c r="R55" s="24" t="n">
        <v>201.4</v>
      </c>
      <c r="S55" s="24" t="n">
        <v>79.4</v>
      </c>
      <c r="T55" s="24" t="n">
        <v>46.5</v>
      </c>
      <c r="U55" s="24" t="n">
        <v>44.4</v>
      </c>
      <c r="V55" s="24" t="n">
        <v>29.9</v>
      </c>
      <c r="W55" s="14" t="n">
        <f aca="false">O55+Q55-P55-R55</f>
        <v>106.4</v>
      </c>
      <c r="X55" s="14" t="n">
        <f aca="false">S55+U55-T55-V55</f>
        <v>47.4</v>
      </c>
      <c r="Y55" s="14" t="n">
        <f aca="false">W55-X55</f>
        <v>59</v>
      </c>
      <c r="Z55" s="11" t="n">
        <f aca="false">IF(W55=0,"",Y55/W55)</f>
        <v>0.554511278195489</v>
      </c>
      <c r="AA55" s="25" t="n">
        <f aca="false">Y55*H55</f>
        <v>4425</v>
      </c>
      <c r="AB55" s="26" t="n">
        <v>4426</v>
      </c>
      <c r="AC55" s="25" t="n">
        <f aca="false">ROUND(AA55-AB55,0)</f>
        <v>-1</v>
      </c>
      <c r="AD55" s="14" t="n">
        <f aca="false">0.5*W55</f>
        <v>53.2</v>
      </c>
      <c r="AE55" s="14" t="n">
        <f aca="false">-1*W55</f>
        <v>-106.4</v>
      </c>
      <c r="AF55" s="5" t="str">
        <f aca="false">IF(D55="","OPEN",IF(ROUND(Z55,4)&gt;=0.5,"TARGET",IF(ROUND(Z55,4)&lt;=-1,"STOPLOSS",IF(G55&lt;=15,"TIME","CHECK"))))</f>
        <v>TARGET</v>
      </c>
      <c r="AG55" s="5" t="str">
        <f aca="false">AF55</f>
        <v>TARGET</v>
      </c>
      <c r="AH55" s="15"/>
      <c r="AI55" s="5" t="s">
        <v>121</v>
      </c>
      <c r="AJ55" s="25" t="n">
        <f aca="false">AJ54+AB55</f>
        <v>10093</v>
      </c>
      <c r="AK55" s="25" t="n">
        <f aca="false">MAX(AK54,AJ55)</f>
        <v>13760</v>
      </c>
      <c r="AL55" s="25" t="n">
        <f aca="false">AJ55-AK55</f>
        <v>-3667</v>
      </c>
      <c r="AM55" s="5" t="n">
        <f aca="false">IF(AB55&gt;0,AM54+1,0)</f>
        <v>2</v>
      </c>
      <c r="AN55" s="5" t="n">
        <f aca="false">IF(AB55&lt;=0,AN54+1,0)</f>
        <v>0</v>
      </c>
    </row>
    <row r="56" customFormat="false" ht="15" hidden="false" customHeight="false" outlineLevel="0" collapsed="false">
      <c r="A56" s="5" t="n">
        <v>55</v>
      </c>
      <c r="B56" s="5" t="str">
        <f aca="false">IF(D56="","OPEN","CLOSED")</f>
        <v>CLOSED</v>
      </c>
      <c r="C56" s="21" t="n">
        <v>45852.4694444445</v>
      </c>
      <c r="D56" s="21" t="n">
        <v>45882.6361111111</v>
      </c>
      <c r="E56" s="22" t="n">
        <v>45897</v>
      </c>
      <c r="F56" s="23" t="n">
        <f aca="false">INT(E56)-INT(C56)</f>
        <v>45</v>
      </c>
      <c r="G56" s="5" t="n">
        <f aca="false">IF(D56="","",INT(E56)-INT(D56))</f>
        <v>15</v>
      </c>
      <c r="H56" s="24" t="n">
        <v>75</v>
      </c>
      <c r="I56" s="24" t="n">
        <v>25800</v>
      </c>
      <c r="J56" s="24" t="n">
        <v>26000</v>
      </c>
      <c r="K56" s="24" t="n">
        <v>24700</v>
      </c>
      <c r="L56" s="24" t="n">
        <v>24500</v>
      </c>
      <c r="M56" s="23" t="n">
        <f aca="false">J56-I56</f>
        <v>200</v>
      </c>
      <c r="N56" s="23" t="n">
        <f aca="false">K56-L56</f>
        <v>200</v>
      </c>
      <c r="O56" s="24" t="n">
        <v>180.8</v>
      </c>
      <c r="P56" s="24" t="n">
        <v>129.5</v>
      </c>
      <c r="Q56" s="24" t="n">
        <v>209.6</v>
      </c>
      <c r="R56" s="24" t="n">
        <v>164</v>
      </c>
      <c r="S56" s="24" t="n">
        <v>7.5</v>
      </c>
      <c r="T56" s="24" t="n">
        <v>5.7</v>
      </c>
      <c r="U56" s="24" t="n">
        <v>194.6</v>
      </c>
      <c r="V56" s="24" t="n">
        <v>121.2</v>
      </c>
      <c r="W56" s="14" t="n">
        <f aca="false">O56+Q56-P56-R56</f>
        <v>96.9</v>
      </c>
      <c r="X56" s="14" t="n">
        <f aca="false">S56+U56-T56-V56</f>
        <v>75.2</v>
      </c>
      <c r="Y56" s="14" t="n">
        <f aca="false">W56-X56</f>
        <v>21.7</v>
      </c>
      <c r="Z56" s="11" t="n">
        <f aca="false">IF(W56=0,"",Y56/W56)</f>
        <v>0.223942208462332</v>
      </c>
      <c r="AA56" s="25" t="n">
        <f aca="false">Y56*H56</f>
        <v>1627.5</v>
      </c>
      <c r="AB56" s="26" t="n">
        <v>1627</v>
      </c>
      <c r="AC56" s="25" t="n">
        <f aca="false">ROUND(AA56-AB56,0)</f>
        <v>0</v>
      </c>
      <c r="AD56" s="14" t="n">
        <f aca="false">0.5*W56</f>
        <v>48.45</v>
      </c>
      <c r="AE56" s="14" t="n">
        <f aca="false">-1*W56</f>
        <v>-96.9</v>
      </c>
      <c r="AF56" s="5" t="str">
        <f aca="false">IF(D56="","OPEN",IF(ROUND(Z56,4)&gt;=0.5,"TARGET",IF(ROUND(Z56,4)&lt;=-1,"STOPLOSS",IF(G56&lt;=15,"TIME","CHECK"))))</f>
        <v>TIME</v>
      </c>
      <c r="AG56" s="5" t="str">
        <f aca="false">AF56</f>
        <v>TIME</v>
      </c>
      <c r="AH56" s="15"/>
      <c r="AI56" s="5" t="s">
        <v>121</v>
      </c>
      <c r="AJ56" s="25" t="n">
        <f aca="false">AJ55+AB56</f>
        <v>11720</v>
      </c>
      <c r="AK56" s="25" t="n">
        <f aca="false">MAX(AK55,AJ56)</f>
        <v>13760</v>
      </c>
      <c r="AL56" s="25" t="n">
        <f aca="false">AJ56-AK56</f>
        <v>-2040</v>
      </c>
      <c r="AM56" s="5" t="n">
        <f aca="false">IF(AB56&gt;0,AM55+1,0)</f>
        <v>3</v>
      </c>
      <c r="AN56" s="5" t="n">
        <f aca="false">IF(AB56&lt;=0,AN55+1,0)</f>
        <v>0</v>
      </c>
    </row>
    <row r="57" customFormat="false" ht="15" hidden="false" customHeight="false" outlineLevel="0" collapsed="false">
      <c r="A57" s="5" t="n">
        <v>56</v>
      </c>
      <c r="B57" s="5" t="str">
        <f aca="false">IF(D57="","OPEN","CLOSED")</f>
        <v>CLOSED</v>
      </c>
      <c r="C57" s="21" t="n">
        <v>45887.4694444445</v>
      </c>
      <c r="D57" s="21" t="n">
        <v>45910.6361111111</v>
      </c>
      <c r="E57" s="22" t="n">
        <v>45930</v>
      </c>
      <c r="F57" s="23" t="n">
        <f aca="false">INT(E57)-INT(C57)</f>
        <v>43</v>
      </c>
      <c r="G57" s="5" t="n">
        <f aca="false">IF(D57="","",INT(E57)-INT(D57))</f>
        <v>20</v>
      </c>
      <c r="H57" s="24" t="n">
        <v>75</v>
      </c>
      <c r="I57" s="24" t="n">
        <v>25700</v>
      </c>
      <c r="J57" s="24" t="n">
        <v>25900</v>
      </c>
      <c r="K57" s="24" t="n">
        <v>24600</v>
      </c>
      <c r="L57" s="24" t="n">
        <v>24400</v>
      </c>
      <c r="M57" s="23" t="n">
        <f aca="false">J57-I57</f>
        <v>200</v>
      </c>
      <c r="N57" s="23" t="n">
        <f aca="false">K57-L57</f>
        <v>200</v>
      </c>
      <c r="O57" s="24" t="n">
        <v>166.2</v>
      </c>
      <c r="P57" s="24" t="n">
        <v>115</v>
      </c>
      <c r="Q57" s="24" t="n">
        <v>182.5</v>
      </c>
      <c r="R57" s="24" t="n">
        <v>135.8</v>
      </c>
      <c r="S57" s="24" t="n">
        <v>33.5</v>
      </c>
      <c r="T57" s="24" t="n">
        <v>18.2</v>
      </c>
      <c r="U57" s="24" t="n">
        <v>73.8</v>
      </c>
      <c r="V57" s="24" t="n">
        <v>46.9</v>
      </c>
      <c r="W57" s="14" t="n">
        <f aca="false">O57+Q57-P57-R57</f>
        <v>97.9</v>
      </c>
      <c r="X57" s="14" t="n">
        <f aca="false">S57+U57-T57-V57</f>
        <v>42.2</v>
      </c>
      <c r="Y57" s="14" t="n">
        <f aca="false">W57-X57</f>
        <v>55.7</v>
      </c>
      <c r="Z57" s="11" t="n">
        <f aca="false">IF(W57=0,"",Y57/W57)</f>
        <v>0.568947906026558</v>
      </c>
      <c r="AA57" s="25" t="n">
        <f aca="false">Y57*H57</f>
        <v>4177.5</v>
      </c>
      <c r="AB57" s="26" t="n">
        <v>4177</v>
      </c>
      <c r="AC57" s="25" t="n">
        <f aca="false">ROUND(AA57-AB57,0)</f>
        <v>0</v>
      </c>
      <c r="AD57" s="14" t="n">
        <f aca="false">0.5*W57</f>
        <v>48.95</v>
      </c>
      <c r="AE57" s="14" t="n">
        <f aca="false">-1*W57</f>
        <v>-97.9</v>
      </c>
      <c r="AF57" s="5" t="str">
        <f aca="false">IF(D57="","OPEN",IF(ROUND(Z57,4)&gt;=0.5,"TARGET",IF(ROUND(Z57,4)&lt;=-1,"STOPLOSS",IF(G57&lt;=15,"TIME","CHECK"))))</f>
        <v>TARGET</v>
      </c>
      <c r="AG57" s="5" t="str">
        <f aca="false">AF57</f>
        <v>TARGET</v>
      </c>
      <c r="AH57" s="15"/>
      <c r="AI57" s="5" t="s">
        <v>121</v>
      </c>
      <c r="AJ57" s="25" t="n">
        <f aca="false">AJ56+AB57</f>
        <v>15897</v>
      </c>
      <c r="AK57" s="25" t="n">
        <f aca="false">MAX(AK56,AJ57)</f>
        <v>15897</v>
      </c>
      <c r="AL57" s="25" t="n">
        <f aca="false">AJ57-AK57</f>
        <v>0</v>
      </c>
      <c r="AM57" s="5" t="n">
        <f aca="false">IF(AB57&gt;0,AM56+1,0)</f>
        <v>4</v>
      </c>
      <c r="AN57" s="5" t="n">
        <f aca="false">IF(AB57&lt;=0,AN56+1,0)</f>
        <v>0</v>
      </c>
    </row>
    <row r="58" customFormat="false" ht="15" hidden="false" customHeight="false" outlineLevel="0" collapsed="false">
      <c r="A58" s="5" t="n">
        <v>57</v>
      </c>
      <c r="B58" s="5" t="str">
        <f aca="false">IF(D58="","OPEN","CLOSED")</f>
        <v>CLOSED</v>
      </c>
      <c r="C58" s="21" t="n">
        <v>45915.4694444445</v>
      </c>
      <c r="D58" s="21" t="n">
        <v>45943.6361111111</v>
      </c>
      <c r="E58" s="22" t="n">
        <v>45958</v>
      </c>
      <c r="F58" s="23" t="n">
        <f aca="false">INT(E58)-INT(C58)</f>
        <v>43</v>
      </c>
      <c r="G58" s="5" t="n">
        <f aca="false">IF(D58="","",INT(E58)-INT(D58))</f>
        <v>15</v>
      </c>
      <c r="H58" s="24" t="n">
        <v>75</v>
      </c>
      <c r="I58" s="24" t="n">
        <v>25750</v>
      </c>
      <c r="J58" s="24" t="n">
        <v>25950</v>
      </c>
      <c r="K58" s="24" t="n">
        <v>24800</v>
      </c>
      <c r="L58" s="24" t="n">
        <v>24600</v>
      </c>
      <c r="M58" s="23" t="n">
        <f aca="false">J58-I58</f>
        <v>200</v>
      </c>
      <c r="N58" s="23" t="n">
        <f aca="false">K58-L58</f>
        <v>200</v>
      </c>
      <c r="O58" s="24" t="n">
        <v>146.3</v>
      </c>
      <c r="P58" s="24" t="n">
        <v>98.5</v>
      </c>
      <c r="Q58" s="24" t="n">
        <v>164.8</v>
      </c>
      <c r="R58" s="24" t="n">
        <v>121.8</v>
      </c>
      <c r="S58" s="24" t="n">
        <v>46.3</v>
      </c>
      <c r="T58" s="24" t="n">
        <v>23.1</v>
      </c>
      <c r="U58" s="24" t="n">
        <v>58</v>
      </c>
      <c r="V58" s="24" t="n">
        <v>36.4</v>
      </c>
      <c r="W58" s="14" t="n">
        <f aca="false">O58+Q58-P58-R58</f>
        <v>90.8</v>
      </c>
      <c r="X58" s="14" t="n">
        <f aca="false">S58+U58-T58-V58</f>
        <v>44.8</v>
      </c>
      <c r="Y58" s="14" t="n">
        <f aca="false">W58-X58</f>
        <v>46</v>
      </c>
      <c r="Z58" s="11" t="n">
        <f aca="false">IF(W58=0,"",Y58/W58)</f>
        <v>0.506607929515419</v>
      </c>
      <c r="AA58" s="25" t="n">
        <f aca="false">Y58*H58</f>
        <v>3450</v>
      </c>
      <c r="AB58" s="26" t="n">
        <v>3450</v>
      </c>
      <c r="AC58" s="25" t="n">
        <f aca="false">ROUND(AA58-AB58,0)</f>
        <v>0</v>
      </c>
      <c r="AD58" s="14" t="n">
        <f aca="false">0.5*W58</f>
        <v>45.4</v>
      </c>
      <c r="AE58" s="14" t="n">
        <f aca="false">-1*W58</f>
        <v>-90.8</v>
      </c>
      <c r="AF58" s="5" t="str">
        <f aca="false">IF(D58="","OPEN",IF(ROUND(Z58,4)&gt;=0.5,"TARGET",IF(ROUND(Z58,4)&lt;=-1,"STOPLOSS",IF(G58&lt;=15,"TIME","CHECK"))))</f>
        <v>TARGET</v>
      </c>
      <c r="AG58" s="5" t="str">
        <f aca="false">AF58</f>
        <v>TARGET</v>
      </c>
      <c r="AH58" s="15"/>
      <c r="AI58" s="5" t="s">
        <v>121</v>
      </c>
      <c r="AJ58" s="25" t="n">
        <f aca="false">AJ57+AB58</f>
        <v>19347</v>
      </c>
      <c r="AK58" s="25" t="n">
        <f aca="false">MAX(AK57,AJ58)</f>
        <v>19347</v>
      </c>
      <c r="AL58" s="25" t="n">
        <f aca="false">AJ58-AK58</f>
        <v>0</v>
      </c>
      <c r="AM58" s="5" t="n">
        <f aca="false">IF(AB58&gt;0,AM57+1,0)</f>
        <v>5</v>
      </c>
      <c r="AN58" s="5" t="n">
        <f aca="false">IF(AB58&lt;=0,AN57+1,0)</f>
        <v>0</v>
      </c>
    </row>
    <row r="59" customFormat="false" ht="15" hidden="false" customHeight="false" outlineLevel="0" collapsed="false">
      <c r="A59" s="5" t="n">
        <v>58</v>
      </c>
      <c r="B59" s="5" t="str">
        <f aca="false">IF(D59="","OPEN","CLOSED")</f>
        <v>CLOSED</v>
      </c>
      <c r="C59" s="21" t="n">
        <v>45943.4694444445</v>
      </c>
      <c r="D59" s="21" t="n">
        <v>45971.6361111111</v>
      </c>
      <c r="E59" s="22" t="n">
        <v>45986</v>
      </c>
      <c r="F59" s="23" t="n">
        <f aca="false">INT(E59)-INT(C59)</f>
        <v>43</v>
      </c>
      <c r="G59" s="5" t="n">
        <f aca="false">IF(D59="","",INT(E59)-INT(D59))</f>
        <v>15</v>
      </c>
      <c r="H59" s="24" t="n">
        <v>75</v>
      </c>
      <c r="I59" s="24" t="n">
        <v>25900</v>
      </c>
      <c r="J59" s="24" t="n">
        <v>26100</v>
      </c>
      <c r="K59" s="24" t="n">
        <v>24900</v>
      </c>
      <c r="L59" s="24" t="n">
        <v>24700</v>
      </c>
      <c r="M59" s="23" t="n">
        <f aca="false">J59-I59</f>
        <v>200</v>
      </c>
      <c r="N59" s="23" t="n">
        <f aca="false">K59-L59</f>
        <v>200</v>
      </c>
      <c r="O59" s="24" t="n">
        <v>149.7</v>
      </c>
      <c r="P59" s="24" t="n">
        <v>99.6</v>
      </c>
      <c r="Q59" s="24" t="n">
        <v>183</v>
      </c>
      <c r="R59" s="24" t="n">
        <v>137</v>
      </c>
      <c r="S59" s="24" t="n">
        <v>135.9</v>
      </c>
      <c r="T59" s="24" t="n">
        <v>76.3</v>
      </c>
      <c r="U59" s="24" t="n">
        <v>33.8</v>
      </c>
      <c r="V59" s="24" t="n">
        <v>22.6</v>
      </c>
      <c r="W59" s="14" t="n">
        <f aca="false">O59+Q59-P59-R59</f>
        <v>96.1</v>
      </c>
      <c r="X59" s="14" t="n">
        <f aca="false">S59+U59-T59-V59</f>
        <v>70.8</v>
      </c>
      <c r="Y59" s="14" t="n">
        <f aca="false">W59-X59</f>
        <v>25.3</v>
      </c>
      <c r="Z59" s="11" t="n">
        <f aca="false">IF(W59=0,"",Y59/W59)</f>
        <v>0.263267429760666</v>
      </c>
      <c r="AA59" s="25" t="n">
        <f aca="false">Y59*H59</f>
        <v>1897.5</v>
      </c>
      <c r="AB59" s="26" t="n">
        <v>1898</v>
      </c>
      <c r="AC59" s="25" t="n">
        <f aca="false">ROUND(AA59-AB59,0)</f>
        <v>-0</v>
      </c>
      <c r="AD59" s="14" t="n">
        <f aca="false">0.5*W59</f>
        <v>48.05</v>
      </c>
      <c r="AE59" s="14" t="n">
        <f aca="false">-1*W59</f>
        <v>-96.1</v>
      </c>
      <c r="AF59" s="5" t="str">
        <f aca="false">IF(D59="","OPEN",IF(ROUND(Z59,4)&gt;=0.5,"TARGET",IF(ROUND(Z59,4)&lt;=-1,"STOPLOSS",IF(G59&lt;=15,"TIME","CHECK"))))</f>
        <v>TIME</v>
      </c>
      <c r="AG59" s="5" t="str">
        <f aca="false">AF59</f>
        <v>TIME</v>
      </c>
      <c r="AH59" s="15"/>
      <c r="AI59" s="5" t="s">
        <v>122</v>
      </c>
      <c r="AJ59" s="25" t="n">
        <f aca="false">AJ58+AB59</f>
        <v>21245</v>
      </c>
      <c r="AK59" s="25" t="n">
        <f aca="false">MAX(AK58,AJ59)</f>
        <v>21245</v>
      </c>
      <c r="AL59" s="25" t="n">
        <f aca="false">AJ59-AK59</f>
        <v>0</v>
      </c>
      <c r="AM59" s="5" t="n">
        <f aca="false">IF(AB59&gt;0,AM58+1,0)</f>
        <v>6</v>
      </c>
      <c r="AN59" s="5" t="n">
        <f aca="false">IF(AB59&lt;=0,AN58+1,0)</f>
        <v>0</v>
      </c>
    </row>
    <row r="60" customFormat="false" ht="15" hidden="false" customHeight="false" outlineLevel="0" collapsed="false">
      <c r="A60" s="5" t="n">
        <v>59</v>
      </c>
      <c r="B60" s="5" t="str">
        <f aca="false">IF(D60="","OPEN","CLOSED")</f>
        <v>CLOSED</v>
      </c>
      <c r="C60" s="21" t="n">
        <v>45978.4694444445</v>
      </c>
      <c r="D60" s="21" t="n">
        <v>46003.6361111111</v>
      </c>
      <c r="E60" s="22" t="n">
        <v>46021</v>
      </c>
      <c r="F60" s="23" t="n">
        <f aca="false">INT(E60)-INT(C60)</f>
        <v>43</v>
      </c>
      <c r="G60" s="5" t="n">
        <f aca="false">IF(D60="","",INT(E60)-INT(D60))</f>
        <v>18</v>
      </c>
      <c r="H60" s="24" t="n">
        <v>75</v>
      </c>
      <c r="I60" s="24" t="n">
        <v>26700</v>
      </c>
      <c r="J60" s="24" t="n">
        <v>26900</v>
      </c>
      <c r="K60" s="24" t="n">
        <v>25700</v>
      </c>
      <c r="L60" s="24" t="n">
        <v>25500</v>
      </c>
      <c r="M60" s="23" t="n">
        <f aca="false">J60-I60</f>
        <v>200</v>
      </c>
      <c r="N60" s="23" t="n">
        <f aca="false">K60-L60</f>
        <v>200</v>
      </c>
      <c r="O60" s="24" t="n">
        <v>169</v>
      </c>
      <c r="P60" s="24" t="n">
        <v>116.2</v>
      </c>
      <c r="Q60" s="24" t="n">
        <v>188.9</v>
      </c>
      <c r="R60" s="24" t="n">
        <v>141.3</v>
      </c>
      <c r="S60" s="24" t="n">
        <v>31.3</v>
      </c>
      <c r="T60" s="24" t="n">
        <v>15.7</v>
      </c>
      <c r="U60" s="24" t="n">
        <v>61.5</v>
      </c>
      <c r="V60" s="24" t="n">
        <v>38.1</v>
      </c>
      <c r="W60" s="14" t="n">
        <f aca="false">O60+Q60-P60-R60</f>
        <v>100.4</v>
      </c>
      <c r="X60" s="14" t="n">
        <f aca="false">S60+U60-T60-V60</f>
        <v>39</v>
      </c>
      <c r="Y60" s="14" t="n">
        <f aca="false">W60-X60</f>
        <v>61.4</v>
      </c>
      <c r="Z60" s="11" t="n">
        <f aca="false">IF(W60=0,"",Y60/W60)</f>
        <v>0.611553784860558</v>
      </c>
      <c r="AA60" s="25" t="n">
        <f aca="false">Y60*H60</f>
        <v>4605</v>
      </c>
      <c r="AB60" s="26" t="n">
        <v>4605</v>
      </c>
      <c r="AC60" s="25" t="n">
        <f aca="false">ROUND(AA60-AB60,0)</f>
        <v>0</v>
      </c>
      <c r="AD60" s="14" t="n">
        <f aca="false">0.5*W60</f>
        <v>50.2</v>
      </c>
      <c r="AE60" s="14" t="n">
        <f aca="false">-1*W60</f>
        <v>-100.4</v>
      </c>
      <c r="AF60" s="5" t="str">
        <f aca="false">IF(D60="","OPEN",IF(ROUND(Z60,4)&gt;=0.5,"TARGET",IF(ROUND(Z60,4)&lt;=-1,"STOPLOSS",IF(G60&lt;=15,"TIME","CHECK"))))</f>
        <v>TARGET</v>
      </c>
      <c r="AG60" s="5" t="str">
        <f aca="false">AF60</f>
        <v>TARGET</v>
      </c>
      <c r="AH60" s="15"/>
      <c r="AI60" s="5" t="s">
        <v>121</v>
      </c>
      <c r="AJ60" s="25" t="n">
        <f aca="false">AJ59+AB60</f>
        <v>25850</v>
      </c>
      <c r="AK60" s="25" t="n">
        <f aca="false">MAX(AK59,AJ60)</f>
        <v>25850</v>
      </c>
      <c r="AL60" s="25" t="n">
        <f aca="false">AJ60-AK60</f>
        <v>0</v>
      </c>
      <c r="AM60" s="5" t="n">
        <f aca="false">IF(AB60&gt;0,AM59+1,0)</f>
        <v>7</v>
      </c>
      <c r="AN60" s="5" t="n">
        <f aca="false">IF(AB60&lt;=0,AN59+1,0)</f>
        <v>0</v>
      </c>
    </row>
    <row r="61" customFormat="false" ht="15" hidden="false" customHeight="false" outlineLevel="0" collapsed="false">
      <c r="A61" s="5" t="n">
        <v>60</v>
      </c>
      <c r="B61" s="5" t="str">
        <f aca="false">IF(D61="","OPEN","CLOSED")</f>
        <v>CLOSED</v>
      </c>
      <c r="C61" s="21" t="n">
        <v>46006.4694444445</v>
      </c>
      <c r="D61" s="21" t="n">
        <v>46029.6361111111</v>
      </c>
      <c r="E61" s="22" t="n">
        <v>46049</v>
      </c>
      <c r="F61" s="23" t="n">
        <f aca="false">INT(E61)-INT(C61)</f>
        <v>43</v>
      </c>
      <c r="G61" s="5" t="n">
        <f aca="false">IF(D61="","",INT(E61)-INT(D61))</f>
        <v>20</v>
      </c>
      <c r="H61" s="24" t="n">
        <v>65</v>
      </c>
      <c r="I61" s="24" t="n">
        <v>26700</v>
      </c>
      <c r="J61" s="24" t="n">
        <v>26900</v>
      </c>
      <c r="K61" s="24" t="n">
        <v>25700</v>
      </c>
      <c r="L61" s="24" t="n">
        <v>25500</v>
      </c>
      <c r="M61" s="23" t="n">
        <f aca="false">J61-I61</f>
        <v>200</v>
      </c>
      <c r="N61" s="23" t="n">
        <f aca="false">K61-L61</f>
        <v>200</v>
      </c>
      <c r="O61" s="24" t="n">
        <v>150.6</v>
      </c>
      <c r="P61" s="24" t="n">
        <v>97.8</v>
      </c>
      <c r="Q61" s="24" t="n">
        <v>163.1</v>
      </c>
      <c r="R61" s="24" t="n">
        <v>122</v>
      </c>
      <c r="S61" s="24" t="n">
        <v>49</v>
      </c>
      <c r="T61" s="24" t="n">
        <v>24.9</v>
      </c>
      <c r="U61" s="24" t="n">
        <v>46.9</v>
      </c>
      <c r="V61" s="24" t="n">
        <v>28.1</v>
      </c>
      <c r="W61" s="14" t="n">
        <f aca="false">O61+Q61-P61-R61</f>
        <v>93.9</v>
      </c>
      <c r="X61" s="14" t="n">
        <f aca="false">S61+U61-T61-V61</f>
        <v>42.9</v>
      </c>
      <c r="Y61" s="14" t="n">
        <f aca="false">W61-X61</f>
        <v>51</v>
      </c>
      <c r="Z61" s="11" t="n">
        <f aca="false">IF(W61=0,"",Y61/W61)</f>
        <v>0.543130990415335</v>
      </c>
      <c r="AA61" s="25" t="n">
        <f aca="false">Y61*H61</f>
        <v>3315</v>
      </c>
      <c r="AB61" s="26" t="n">
        <v>3316</v>
      </c>
      <c r="AC61" s="25" t="n">
        <f aca="false">ROUND(AA61-AB61,0)</f>
        <v>-1</v>
      </c>
      <c r="AD61" s="14" t="n">
        <f aca="false">0.5*W61</f>
        <v>46.95</v>
      </c>
      <c r="AE61" s="14" t="n">
        <f aca="false">-1*W61</f>
        <v>-93.9</v>
      </c>
      <c r="AF61" s="5" t="str">
        <f aca="false">IF(D61="","OPEN",IF(ROUND(Z61,4)&gt;=0.5,"TARGET",IF(ROUND(Z61,4)&lt;=-1,"STOPLOSS",IF(G61&lt;=15,"TIME","CHECK"))))</f>
        <v>TARGET</v>
      </c>
      <c r="AG61" s="5" t="str">
        <f aca="false">AF61</f>
        <v>TARGET</v>
      </c>
      <c r="AH61" s="15"/>
      <c r="AI61" s="5" t="s">
        <v>121</v>
      </c>
      <c r="AJ61" s="25" t="n">
        <f aca="false">AJ60+AB61</f>
        <v>29166</v>
      </c>
      <c r="AK61" s="25" t="n">
        <f aca="false">MAX(AK60,AJ61)</f>
        <v>29166</v>
      </c>
      <c r="AL61" s="25" t="n">
        <f aca="false">AJ61-AK61</f>
        <v>0</v>
      </c>
      <c r="AM61" s="5" t="n">
        <f aca="false">IF(AB61&gt;0,AM60+1,0)</f>
        <v>8</v>
      </c>
      <c r="AN61" s="5" t="n">
        <f aca="false">IF(AB61&lt;=0,AN60+1,0)</f>
        <v>0</v>
      </c>
    </row>
    <row r="62" customFormat="false" ht="15" hidden="false" customHeight="false" outlineLevel="0" collapsed="false">
      <c r="A62" s="5" t="n">
        <v>61</v>
      </c>
      <c r="B62" s="5" t="str">
        <f aca="false">IF(D62="","OPEN","CLOSED")</f>
        <v>CLOSED</v>
      </c>
      <c r="C62" s="21" t="n">
        <v>46034.4694444445</v>
      </c>
      <c r="D62" s="21" t="n">
        <v>46062.6361111111</v>
      </c>
      <c r="E62" s="22" t="n">
        <v>46077</v>
      </c>
      <c r="F62" s="23" t="n">
        <f aca="false">INT(E62)-INT(C62)</f>
        <v>43</v>
      </c>
      <c r="G62" s="5" t="n">
        <f aca="false">IF(D62="","",INT(E62)-INT(D62))</f>
        <v>15</v>
      </c>
      <c r="H62" s="24" t="n">
        <v>65</v>
      </c>
      <c r="I62" s="24" t="n">
        <v>26300</v>
      </c>
      <c r="J62" s="24" t="n">
        <v>26500</v>
      </c>
      <c r="K62" s="24" t="n">
        <v>25200</v>
      </c>
      <c r="L62" s="24" t="n">
        <v>25000</v>
      </c>
      <c r="M62" s="23" t="n">
        <f aca="false">J62-I62</f>
        <v>200</v>
      </c>
      <c r="N62" s="23" t="n">
        <f aca="false">K62-L62</f>
        <v>200</v>
      </c>
      <c r="O62" s="24" t="n">
        <v>187.2</v>
      </c>
      <c r="P62" s="24" t="n">
        <v>134.6</v>
      </c>
      <c r="Q62" s="24" t="n">
        <v>185.9</v>
      </c>
      <c r="R62" s="24" t="n">
        <v>140.4</v>
      </c>
      <c r="S62" s="24" t="n">
        <v>76.3</v>
      </c>
      <c r="T62" s="24" t="n">
        <v>41.1</v>
      </c>
      <c r="U62" s="24" t="n">
        <v>48.3</v>
      </c>
      <c r="V62" s="24" t="n">
        <v>36.2</v>
      </c>
      <c r="W62" s="14" t="n">
        <f aca="false">O62+Q62-P62-R62</f>
        <v>98.1</v>
      </c>
      <c r="X62" s="14" t="n">
        <f aca="false">S62+U62-T62-V62</f>
        <v>47.3</v>
      </c>
      <c r="Y62" s="14" t="n">
        <f aca="false">W62-X62</f>
        <v>50.8</v>
      </c>
      <c r="Z62" s="11" t="n">
        <f aca="false">IF(W62=0,"",Y62/W62)</f>
        <v>0.517838939857289</v>
      </c>
      <c r="AA62" s="25" t="n">
        <f aca="false">Y62*H62</f>
        <v>3302</v>
      </c>
      <c r="AB62" s="26" t="n">
        <v>3302</v>
      </c>
      <c r="AC62" s="25" t="n">
        <f aca="false">ROUND(AA62-AB62,0)</f>
        <v>0</v>
      </c>
      <c r="AD62" s="14" t="n">
        <f aca="false">0.5*W62</f>
        <v>49.05</v>
      </c>
      <c r="AE62" s="14" t="n">
        <f aca="false">-1*W62</f>
        <v>-98.1</v>
      </c>
      <c r="AF62" s="5" t="str">
        <f aca="false">IF(D62="","OPEN",IF(ROUND(Z62,4)&gt;=0.5,"TARGET",IF(ROUND(Z62,4)&lt;=-1,"STOPLOSS",IF(G62&lt;=15,"TIME","CHECK"))))</f>
        <v>TARGET</v>
      </c>
      <c r="AG62" s="5" t="str">
        <f aca="false">AF62</f>
        <v>TARGET</v>
      </c>
      <c r="AH62" s="15"/>
      <c r="AI62" s="5" t="s">
        <v>121</v>
      </c>
      <c r="AJ62" s="25" t="n">
        <f aca="false">AJ61+AB62</f>
        <v>32468</v>
      </c>
      <c r="AK62" s="25" t="n">
        <f aca="false">MAX(AK61,AJ62)</f>
        <v>32468</v>
      </c>
      <c r="AL62" s="25" t="n">
        <f aca="false">AJ62-AK62</f>
        <v>0</v>
      </c>
      <c r="AM62" s="5" t="n">
        <f aca="false">IF(AB62&gt;0,AM61+1,0)</f>
        <v>9</v>
      </c>
      <c r="AN62" s="5" t="n">
        <f aca="false">IF(AB62&lt;=0,AN61+1,0)</f>
        <v>0</v>
      </c>
    </row>
    <row r="63" customFormat="false" ht="35.05" hidden="false" customHeight="false" outlineLevel="0" collapsed="false">
      <c r="A63" s="5" t="n">
        <v>62</v>
      </c>
      <c r="B63" s="5" t="str">
        <f aca="false">IF(D63="","OPEN","CLOSED")</f>
        <v>CLOSED</v>
      </c>
      <c r="C63" s="21" t="n">
        <v>46069.4694444445</v>
      </c>
      <c r="D63" s="21" t="n">
        <v>46094.6361111111</v>
      </c>
      <c r="E63" s="22" t="n">
        <v>46111</v>
      </c>
      <c r="F63" s="23" t="n">
        <f aca="false">INT(E63)-INT(C63)</f>
        <v>42</v>
      </c>
      <c r="G63" s="5" t="n">
        <f aca="false">IF(D63="","",INT(E63)-INT(D63))</f>
        <v>17</v>
      </c>
      <c r="H63" s="24" t="n">
        <v>65</v>
      </c>
      <c r="I63" s="24" t="n">
        <v>26200</v>
      </c>
      <c r="J63" s="24" t="n">
        <v>26400</v>
      </c>
      <c r="K63" s="24" t="n">
        <v>25200</v>
      </c>
      <c r="L63" s="24" t="n">
        <v>25000</v>
      </c>
      <c r="M63" s="23" t="n">
        <f aca="false">J63-I63</f>
        <v>200</v>
      </c>
      <c r="N63" s="23" t="n">
        <f aca="false">K63-L63</f>
        <v>200</v>
      </c>
      <c r="O63" s="24" t="n">
        <v>186</v>
      </c>
      <c r="P63" s="24" t="n">
        <v>129.8</v>
      </c>
      <c r="Q63" s="24" t="n">
        <v>205.1</v>
      </c>
      <c r="R63" s="24" t="n">
        <v>162.2</v>
      </c>
      <c r="S63" s="24" t="n">
        <v>8.7</v>
      </c>
      <c r="T63" s="24" t="n">
        <v>7.8</v>
      </c>
      <c r="U63" s="24" t="n">
        <v>1994.1</v>
      </c>
      <c r="V63" s="24" t="n">
        <v>1803.9</v>
      </c>
      <c r="W63" s="14" t="n">
        <f aca="false">O63+Q63-P63-R63</f>
        <v>99.1</v>
      </c>
      <c r="X63" s="14" t="n">
        <f aca="false">S63+U63-T63-V63</f>
        <v>191.1</v>
      </c>
      <c r="Y63" s="14" t="n">
        <f aca="false">W63-X63</f>
        <v>-91.9999999999999</v>
      </c>
      <c r="Z63" s="11" t="n">
        <f aca="false">IF(W63=0,"",Y63/W63)</f>
        <v>-0.928355196770937</v>
      </c>
      <c r="AA63" s="25" t="n">
        <f aca="false">Y63*H63</f>
        <v>-5979.99999999999</v>
      </c>
      <c r="AB63" s="26" t="n">
        <v>-5981</v>
      </c>
      <c r="AC63" s="25" t="n">
        <f aca="false">ROUND(AA63-AB63,0)</f>
        <v>1</v>
      </c>
      <c r="AD63" s="14" t="n">
        <f aca="false">0.5*W63</f>
        <v>49.55</v>
      </c>
      <c r="AE63" s="14" t="n">
        <f aca="false">-1*W63</f>
        <v>-99.1</v>
      </c>
      <c r="AF63" s="5" t="str">
        <f aca="false">IF(D63="","OPEN",IF(ROUND(Z63,4)&gt;=0.5,"TARGET",IF(ROUND(Z63,4)&lt;=-1,"STOPLOSS",IF(G63&lt;=15,"TIME","CHECK"))))</f>
        <v>CHECK</v>
      </c>
      <c r="AG63" s="5" t="s">
        <v>126</v>
      </c>
      <c r="AH63" s="15" t="s">
        <v>127</v>
      </c>
      <c r="AI63" s="5" t="s">
        <v>121</v>
      </c>
      <c r="AJ63" s="25" t="n">
        <f aca="false">AJ62+AB63</f>
        <v>26487</v>
      </c>
      <c r="AK63" s="25" t="n">
        <f aca="false">MAX(AK62,AJ63)</f>
        <v>32468</v>
      </c>
      <c r="AL63" s="25" t="n">
        <f aca="false">AJ63-AK63</f>
        <v>-5981</v>
      </c>
      <c r="AM63" s="5" t="n">
        <f aca="false">IF(AB63&gt;0,AM62+1,0)</f>
        <v>0</v>
      </c>
      <c r="AN63" s="5" t="n">
        <f aca="false">IF(AB63&lt;=0,AN62+1,0)</f>
        <v>1</v>
      </c>
    </row>
    <row r="64" customFormat="false" ht="15" hidden="false" customHeight="false" outlineLevel="0" collapsed="false">
      <c r="A64" s="5" t="n">
        <v>63</v>
      </c>
      <c r="B64" s="5" t="str">
        <f aca="false">IF(D64="","OPEN","CLOSED")</f>
        <v>CLOSED</v>
      </c>
      <c r="C64" s="21" t="n">
        <v>46125.4694444445</v>
      </c>
      <c r="D64" s="21" t="n">
        <v>46153.6361111111</v>
      </c>
      <c r="E64" s="22" t="n">
        <v>46168</v>
      </c>
      <c r="F64" s="23" t="n">
        <f aca="false">INT(E64)-INT(C64)</f>
        <v>43</v>
      </c>
      <c r="G64" s="5" t="n">
        <f aca="false">IF(D64="","",INT(E64)-INT(D64))</f>
        <v>15</v>
      </c>
      <c r="H64" s="24" t="n">
        <v>65</v>
      </c>
      <c r="I64" s="24" t="n">
        <v>24700</v>
      </c>
      <c r="J64" s="24" t="n">
        <v>24900</v>
      </c>
      <c r="K64" s="24" t="n">
        <v>23100</v>
      </c>
      <c r="L64" s="24" t="n">
        <v>22900</v>
      </c>
      <c r="M64" s="23" t="n">
        <f aca="false">J64-I64</f>
        <v>200</v>
      </c>
      <c r="N64" s="23" t="n">
        <f aca="false">K64-L64</f>
        <v>200</v>
      </c>
      <c r="O64" s="24" t="n">
        <v>261.8</v>
      </c>
      <c r="P64" s="24" t="n">
        <v>198.5</v>
      </c>
      <c r="Q64" s="24" t="n">
        <v>343.9</v>
      </c>
      <c r="R64" s="24" t="n">
        <v>298</v>
      </c>
      <c r="S64" s="24" t="n">
        <v>72.9</v>
      </c>
      <c r="T64" s="24" t="n">
        <v>46.2</v>
      </c>
      <c r="U64" s="24" t="n">
        <v>103.8</v>
      </c>
      <c r="V64" s="24" t="n">
        <v>73.3</v>
      </c>
      <c r="W64" s="14" t="n">
        <f aca="false">O64+Q64-P64-R64</f>
        <v>109.2</v>
      </c>
      <c r="X64" s="14" t="n">
        <f aca="false">S64+U64-T64-V64</f>
        <v>57.2</v>
      </c>
      <c r="Y64" s="14" t="n">
        <f aca="false">W64-X64</f>
        <v>52</v>
      </c>
      <c r="Z64" s="11" t="n">
        <f aca="false">IF(W64=0,"",Y64/W64)</f>
        <v>0.476190476190476</v>
      </c>
      <c r="AA64" s="25" t="n">
        <f aca="false">Y64*H64</f>
        <v>3380</v>
      </c>
      <c r="AB64" s="26" t="n">
        <v>3380</v>
      </c>
      <c r="AC64" s="25" t="n">
        <f aca="false">ROUND(AA64-AB64,0)</f>
        <v>0</v>
      </c>
      <c r="AD64" s="14" t="n">
        <f aca="false">0.5*W64</f>
        <v>54.6</v>
      </c>
      <c r="AE64" s="14" t="n">
        <f aca="false">-1*W64</f>
        <v>-109.2</v>
      </c>
      <c r="AF64" s="5" t="str">
        <f aca="false">IF(D64="","OPEN",IF(ROUND(Z64,4)&gt;=0.5,"TARGET",IF(ROUND(Z64,4)&lt;=-1,"STOPLOSS",IF(G64&lt;=15,"TIME","CHECK"))))</f>
        <v>TIME</v>
      </c>
      <c r="AG64" s="5" t="str">
        <f aca="false">AF64</f>
        <v>TIME</v>
      </c>
      <c r="AH64" s="15"/>
      <c r="AI64" s="5" t="s">
        <v>121</v>
      </c>
      <c r="AJ64" s="25" t="n">
        <f aca="false">AJ63+AB64</f>
        <v>29867</v>
      </c>
      <c r="AK64" s="25" t="n">
        <f aca="false">MAX(AK63,AJ64)</f>
        <v>32468</v>
      </c>
      <c r="AL64" s="25" t="n">
        <f aca="false">AJ64-AK64</f>
        <v>-2601</v>
      </c>
      <c r="AM64" s="5" t="n">
        <f aca="false">IF(AB64&gt;0,AM63+1,0)</f>
        <v>1</v>
      </c>
      <c r="AN64" s="5" t="n">
        <f aca="false">IF(AB64&lt;=0,AN63+1,0)</f>
        <v>0</v>
      </c>
    </row>
    <row r="65" customFormat="false" ht="15" hidden="false" customHeight="false" outlineLevel="0" collapsed="false">
      <c r="A65" s="5" t="n">
        <v>64</v>
      </c>
      <c r="B65" s="5" t="str">
        <f aca="false">IF(D65="","OPEN","CLOSED")</f>
        <v>CLOSED</v>
      </c>
      <c r="C65" s="21" t="n">
        <v>46160.4694444445</v>
      </c>
      <c r="D65" s="21" t="n">
        <v>46185.6361111111</v>
      </c>
      <c r="E65" s="22" t="n">
        <v>46203</v>
      </c>
      <c r="F65" s="23" t="n">
        <f aca="false">INT(E65)-INT(C65)</f>
        <v>43</v>
      </c>
      <c r="G65" s="5" t="n">
        <f aca="false">IF(D65="","",INT(E65)-INT(D65))</f>
        <v>18</v>
      </c>
      <c r="H65" s="24" t="n">
        <v>65</v>
      </c>
      <c r="I65" s="24" t="n">
        <v>24300</v>
      </c>
      <c r="J65" s="24" t="n">
        <v>24500</v>
      </c>
      <c r="K65" s="24" t="n">
        <v>22800</v>
      </c>
      <c r="L65" s="24" t="n">
        <v>22600</v>
      </c>
      <c r="M65" s="23" t="n">
        <f aca="false">J65-I65</f>
        <v>200</v>
      </c>
      <c r="N65" s="23" t="n">
        <f aca="false">K65-L65</f>
        <v>200</v>
      </c>
      <c r="O65" s="24" t="n">
        <v>262.7</v>
      </c>
      <c r="P65" s="24" t="n">
        <v>200.8</v>
      </c>
      <c r="Q65" s="24" t="n">
        <v>300</v>
      </c>
      <c r="R65" s="24" t="n">
        <v>253.8</v>
      </c>
      <c r="S65" s="24" t="n">
        <v>75.9</v>
      </c>
      <c r="T65" s="24" t="n">
        <v>47.3</v>
      </c>
      <c r="U65" s="24" t="n">
        <v>54.4</v>
      </c>
      <c r="V65" s="24" t="n">
        <v>37.9</v>
      </c>
      <c r="W65" s="14" t="n">
        <f aca="false">O65+Q65-P65-R65</f>
        <v>108.1</v>
      </c>
      <c r="X65" s="14" t="n">
        <f aca="false">S65+U65-T65-V65</f>
        <v>45.1</v>
      </c>
      <c r="Y65" s="14" t="n">
        <f aca="false">W65-X65</f>
        <v>63</v>
      </c>
      <c r="Z65" s="11" t="n">
        <f aca="false">IF(W65=0,"",Y65/W65)</f>
        <v>0.582793709528215</v>
      </c>
      <c r="AA65" s="25" t="n">
        <f aca="false">Y65*H65</f>
        <v>4095</v>
      </c>
      <c r="AB65" s="26" t="n">
        <v>4096</v>
      </c>
      <c r="AC65" s="25" t="n">
        <f aca="false">ROUND(AA65-AB65,0)</f>
        <v>-1</v>
      </c>
      <c r="AD65" s="14" t="n">
        <f aca="false">0.5*W65</f>
        <v>54.05</v>
      </c>
      <c r="AE65" s="14" t="n">
        <f aca="false">-1*W65</f>
        <v>-108.1</v>
      </c>
      <c r="AF65" s="5" t="str">
        <f aca="false">IF(D65="","OPEN",IF(ROUND(Z65,4)&gt;=0.5,"TARGET",IF(ROUND(Z65,4)&lt;=-1,"STOPLOSS",IF(G65&lt;=15,"TIME","CHECK"))))</f>
        <v>TARGET</v>
      </c>
      <c r="AG65" s="5" t="str">
        <f aca="false">AF65</f>
        <v>TARGET</v>
      </c>
      <c r="AH65" s="15"/>
      <c r="AI65" s="5" t="s">
        <v>121</v>
      </c>
      <c r="AJ65" s="25" t="n">
        <f aca="false">AJ64+AB65</f>
        <v>33963</v>
      </c>
      <c r="AK65" s="25" t="n">
        <f aca="false">MAX(AK64,AJ65)</f>
        <v>33963</v>
      </c>
      <c r="AL65" s="25" t="n">
        <f aca="false">AJ65-AK65</f>
        <v>0</v>
      </c>
      <c r="AM65" s="5" t="n">
        <f aca="false">IF(AB65&gt;0,AM64+1,0)</f>
        <v>2</v>
      </c>
      <c r="AN65" s="5" t="n">
        <f aca="false">IF(AB65&lt;=0,AN64+1,0)</f>
        <v>0</v>
      </c>
    </row>
    <row r="66" customFormat="false" ht="15" hidden="false" customHeight="false" outlineLevel="0" collapsed="false">
      <c r="A66" s="5" t="n">
        <v>65</v>
      </c>
      <c r="B66" s="5" t="str">
        <f aca="false">IF(D66="","OPEN","CLOSED")</f>
        <v>CLOSED</v>
      </c>
      <c r="C66" s="21" t="n">
        <v>46188.4694444445</v>
      </c>
      <c r="D66" s="21" t="n">
        <v>46216.6361111111</v>
      </c>
      <c r="E66" s="22" t="n">
        <v>46231</v>
      </c>
      <c r="F66" s="23" t="n">
        <f aca="false">INT(E66)-INT(C66)</f>
        <v>43</v>
      </c>
      <c r="G66" s="5" t="n">
        <f aca="false">IF(D66="","",INT(E66)-INT(D66))</f>
        <v>15</v>
      </c>
      <c r="H66" s="24" t="n">
        <v>65</v>
      </c>
      <c r="I66" s="24" t="n">
        <v>24600</v>
      </c>
      <c r="J66" s="24" t="n">
        <v>24800</v>
      </c>
      <c r="K66" s="24" t="n">
        <v>23500</v>
      </c>
      <c r="L66" s="24" t="n">
        <v>23300</v>
      </c>
      <c r="M66" s="23" t="n">
        <f aca="false">J66-I66</f>
        <v>200</v>
      </c>
      <c r="N66" s="23" t="n">
        <f aca="false">K66-L66</f>
        <v>200</v>
      </c>
      <c r="O66" s="24" t="n">
        <v>210</v>
      </c>
      <c r="P66" s="24" t="n">
        <v>152.3</v>
      </c>
      <c r="Q66" s="24" t="n">
        <v>215.8</v>
      </c>
      <c r="R66" s="24" t="n">
        <v>167.4</v>
      </c>
      <c r="S66" s="24" t="n">
        <v>96.2</v>
      </c>
      <c r="T66" s="24" t="n">
        <v>50.1</v>
      </c>
      <c r="U66" s="24" t="n">
        <v>58.8</v>
      </c>
      <c r="V66" s="24" t="n">
        <v>40</v>
      </c>
      <c r="W66" s="14" t="n">
        <f aca="false">O66+Q66-P66-R66</f>
        <v>106.1</v>
      </c>
      <c r="X66" s="14" t="n">
        <f aca="false">S66+U66-T66-V66</f>
        <v>64.9</v>
      </c>
      <c r="Y66" s="14" t="n">
        <f aca="false">W66-X66</f>
        <v>41.2</v>
      </c>
      <c r="Z66" s="11" t="n">
        <f aca="false">IF(W66=0,"",Y66/W66)</f>
        <v>0.388312912346843</v>
      </c>
      <c r="AA66" s="25" t="n">
        <f aca="false">Y66*H66</f>
        <v>2678</v>
      </c>
      <c r="AB66" s="26" t="n">
        <v>2678</v>
      </c>
      <c r="AC66" s="25" t="n">
        <f aca="false">ROUND(AA66-AB66,0)</f>
        <v>0</v>
      </c>
      <c r="AD66" s="14" t="n">
        <f aca="false">0.5*W66</f>
        <v>53.05</v>
      </c>
      <c r="AE66" s="14" t="n">
        <f aca="false">-1*W66</f>
        <v>-106.1</v>
      </c>
      <c r="AF66" s="5" t="str">
        <f aca="false">IF(D66="","OPEN",IF(ROUND(Z66,4)&gt;=0.5,"TARGET",IF(ROUND(Z66,4)&lt;=-1,"STOPLOSS",IF(G66&lt;=15,"TIME","CHECK"))))</f>
        <v>TIME</v>
      </c>
      <c r="AG66" s="5" t="str">
        <f aca="false">AF66</f>
        <v>TIME</v>
      </c>
      <c r="AH66" s="15"/>
      <c r="AI66" s="5" t="s">
        <v>121</v>
      </c>
      <c r="AJ66" s="25" t="n">
        <f aca="false">AJ65+AB66</f>
        <v>36641</v>
      </c>
      <c r="AK66" s="25" t="n">
        <f aca="false">MAX(AK65,AJ66)</f>
        <v>36641</v>
      </c>
      <c r="AL66" s="25" t="n">
        <f aca="false">AJ66-AK66</f>
        <v>0</v>
      </c>
      <c r="AM66" s="5" t="n">
        <f aca="false">IF(AB66&gt;0,AM65+1,0)</f>
        <v>3</v>
      </c>
      <c r="AN66" s="5" t="n">
        <f aca="false">IF(AB66&lt;=0,AN65+1,0)</f>
        <v>0</v>
      </c>
    </row>
    <row r="67" customFormat="false" ht="15" hidden="false" customHeight="false" outlineLevel="0" collapsed="false">
      <c r="A67" s="5" t="n">
        <v>66</v>
      </c>
      <c r="B67" s="5" t="str">
        <f aca="false">IF(D67="","OPEN","CLOSED")</f>
        <v>CLOSED</v>
      </c>
      <c r="C67" s="21" t="n">
        <v>46216.4694444445</v>
      </c>
      <c r="D67" s="21" t="n">
        <v>46244.6361111111</v>
      </c>
      <c r="E67" s="22" t="n">
        <v>46259</v>
      </c>
      <c r="F67" s="23" t="n">
        <f aca="false">INT(E67)-INT(C67)</f>
        <v>43</v>
      </c>
      <c r="G67" s="5" t="n">
        <f aca="false">IF(D67="","",INT(E67)-INT(D67))</f>
        <v>15</v>
      </c>
      <c r="H67" s="24" t="n">
        <v>65</v>
      </c>
      <c r="I67" s="24" t="n">
        <v>24800</v>
      </c>
      <c r="J67" s="24" t="n">
        <v>25000</v>
      </c>
      <c r="K67" s="24" t="n">
        <v>23700</v>
      </c>
      <c r="L67" s="24" t="n">
        <v>23500</v>
      </c>
      <c r="M67" s="23" t="n">
        <f aca="false">J67-I67</f>
        <v>200</v>
      </c>
      <c r="N67" s="23" t="n">
        <f aca="false">K67-L67</f>
        <v>200</v>
      </c>
      <c r="O67" s="24" t="n">
        <v>181.5</v>
      </c>
      <c r="P67" s="24" t="n">
        <v>123</v>
      </c>
      <c r="Q67" s="24" t="n">
        <v>214.9</v>
      </c>
      <c r="R67" s="24" t="n">
        <v>166</v>
      </c>
      <c r="S67" s="24" t="n">
        <v>154.1</v>
      </c>
      <c r="T67" s="24" t="n">
        <v>87</v>
      </c>
      <c r="U67" s="24" t="n">
        <v>22.7</v>
      </c>
      <c r="V67" s="24" t="n">
        <v>15.1</v>
      </c>
      <c r="W67" s="14" t="n">
        <f aca="false">O67+Q67-P67-R67</f>
        <v>107.4</v>
      </c>
      <c r="X67" s="14" t="n">
        <f aca="false">S67+U67-T67-V67</f>
        <v>74.7</v>
      </c>
      <c r="Y67" s="14" t="n">
        <f aca="false">W67-X67</f>
        <v>32.7</v>
      </c>
      <c r="Z67" s="11" t="n">
        <f aca="false">IF(W67=0,"",Y67/W67)</f>
        <v>0.304469273743017</v>
      </c>
      <c r="AA67" s="25" t="n">
        <f aca="false">Y67*H67</f>
        <v>2125.5</v>
      </c>
      <c r="AB67" s="26" t="n">
        <v>2126</v>
      </c>
      <c r="AC67" s="25" t="n">
        <f aca="false">ROUND(AA67-AB67,0)</f>
        <v>-1</v>
      </c>
      <c r="AD67" s="14" t="n">
        <f aca="false">0.5*W67</f>
        <v>53.7</v>
      </c>
      <c r="AE67" s="14" t="n">
        <f aca="false">-1*W67</f>
        <v>-107.4</v>
      </c>
      <c r="AF67" s="5" t="str">
        <f aca="false">IF(D67="","OPEN",IF(ROUND(Z67,4)&gt;=0.5,"TARGET",IF(ROUND(Z67,4)&lt;=-1,"STOPLOSS",IF(G67&lt;=15,"TIME","CHECK"))))</f>
        <v>TIME</v>
      </c>
      <c r="AG67" s="5" t="str">
        <f aca="false">AF67</f>
        <v>TIME</v>
      </c>
      <c r="AH67" s="15"/>
      <c r="AI67" s="5" t="s">
        <v>122</v>
      </c>
      <c r="AJ67" s="25" t="n">
        <f aca="false">AJ66+AB67</f>
        <v>38767</v>
      </c>
      <c r="AK67" s="25" t="n">
        <f aca="false">MAX(AK66,AJ67)</f>
        <v>38767</v>
      </c>
      <c r="AL67" s="25" t="n">
        <f aca="false">AJ67-AK67</f>
        <v>0</v>
      </c>
      <c r="AM67" s="5" t="n">
        <f aca="false">IF(AB67&gt;0,AM66+1,0)</f>
        <v>4</v>
      </c>
      <c r="AN67" s="5" t="n">
        <f aca="false">IF(AB67&lt;=0,AN66+1,0)</f>
        <v>0</v>
      </c>
    </row>
    <row r="68" customFormat="false" ht="57.45" hidden="false" customHeight="false" outlineLevel="0" collapsed="false">
      <c r="A68" s="5" t="n">
        <v>67</v>
      </c>
      <c r="B68" s="5" t="str">
        <f aca="false">IF(D68="","OPEN","CLOSED")</f>
        <v>CLOSED</v>
      </c>
      <c r="C68" s="21" t="n">
        <v>46251.4694444445</v>
      </c>
      <c r="D68" s="21" t="n">
        <v>46276.6361111111</v>
      </c>
      <c r="E68" s="22" t="n">
        <v>46294</v>
      </c>
      <c r="F68" s="23" t="n">
        <f aca="false">INT(E68)-INT(C68)</f>
        <v>43</v>
      </c>
      <c r="G68" s="5" t="n">
        <f aca="false">IF(D68="","",INT(E68)-INT(D68))</f>
        <v>18</v>
      </c>
      <c r="H68" s="24" t="n">
        <v>65</v>
      </c>
      <c r="I68" s="24" t="n">
        <v>24900</v>
      </c>
      <c r="J68" s="24" t="n">
        <v>25100</v>
      </c>
      <c r="K68" s="24" t="n">
        <v>24000</v>
      </c>
      <c r="L68" s="24" t="n">
        <v>23800</v>
      </c>
      <c r="M68" s="23" t="n">
        <f aca="false">J68-I68</f>
        <v>200</v>
      </c>
      <c r="N68" s="23" t="n">
        <f aca="false">K68-L68</f>
        <v>200</v>
      </c>
      <c r="O68" s="24" t="n">
        <v>156.8</v>
      </c>
      <c r="P68" s="24" t="n">
        <v>103.3</v>
      </c>
      <c r="Q68" s="24" t="n">
        <v>188.1</v>
      </c>
      <c r="R68" s="24" t="n">
        <v>138.9</v>
      </c>
      <c r="S68" s="24" t="n">
        <v>8.6</v>
      </c>
      <c r="T68" s="24" t="n">
        <v>7</v>
      </c>
      <c r="U68" s="24" t="n">
        <v>565.2</v>
      </c>
      <c r="V68" s="24" t="n">
        <v>410.1</v>
      </c>
      <c r="W68" s="14" t="n">
        <f aca="false">O68+Q68-P68-R68</f>
        <v>102.7</v>
      </c>
      <c r="X68" s="14" t="n">
        <f aca="false">S68+U68-T68-V68</f>
        <v>156.7</v>
      </c>
      <c r="Y68" s="14" t="n">
        <f aca="false">W68-X68</f>
        <v>-54.0000000000001</v>
      </c>
      <c r="Z68" s="11" t="n">
        <f aca="false">IF(W68=0,"",Y68/W68)</f>
        <v>-0.525803310613438</v>
      </c>
      <c r="AA68" s="25" t="n">
        <f aca="false">Y68*H68</f>
        <v>-3510.00000000001</v>
      </c>
      <c r="AB68" s="26" t="n">
        <v>-3509</v>
      </c>
      <c r="AC68" s="25" t="n">
        <f aca="false">ROUND(AA68-AB68,0)</f>
        <v>-1</v>
      </c>
      <c r="AD68" s="14" t="n">
        <f aca="false">0.5*W68</f>
        <v>51.35</v>
      </c>
      <c r="AE68" s="14" t="n">
        <f aca="false">-1*W68</f>
        <v>-102.7</v>
      </c>
      <c r="AF68" s="5" t="str">
        <f aca="false">IF(D68="","OPEN",IF(ROUND(Z68,4)&gt;=0.5,"TARGET",IF(ROUND(Z68,4)&lt;=-1,"STOPLOSS",IF(G68&lt;=15,"TIME","CHECK"))))</f>
        <v>CHECK</v>
      </c>
      <c r="AG68" s="5" t="s">
        <v>126</v>
      </c>
      <c r="AH68" s="15" t="s">
        <v>128</v>
      </c>
      <c r="AI68" s="5" t="s">
        <v>121</v>
      </c>
      <c r="AJ68" s="25" t="n">
        <f aca="false">AJ67+AB68</f>
        <v>35258</v>
      </c>
      <c r="AK68" s="25" t="n">
        <f aca="false">MAX(AK67,AJ68)</f>
        <v>38767</v>
      </c>
      <c r="AL68" s="25" t="n">
        <f aca="false">AJ68-AK68</f>
        <v>-3509</v>
      </c>
      <c r="AM68" s="5" t="n">
        <f aca="false">IF(AB68&gt;0,AM67+1,0)</f>
        <v>0</v>
      </c>
      <c r="AN68" s="5" t="n">
        <f aca="false">IF(AB68&lt;=0,AN67+1,0)</f>
        <v>1</v>
      </c>
    </row>
  </sheetData>
  <conditionalFormatting sqref="A2:AN68">
    <cfRule type="expression" priority="2" aboveAverage="0" equalAverage="0" bottom="0" percent="0" rank="0" text="" dxfId="2">
      <formula>$AG2="MANUAL"</formula>
    </cfRule>
    <cfRule type="expression" priority="3" aboveAverage="0" equalAverage="0" bottom="0" percent="0" rank="0" text="" dxfId="2">
      <formula>$A2=67</formula>
    </cfRule>
  </conditionalFormatting>
  <conditionalFormatting sqref="AC2:AC68">
    <cfRule type="expression" priority="4" aboveAverage="0" equalAverage="0" bottom="0" percent="0" rank="0" text="" dxfId="0">
      <formula>ABS(AC2)&gt;4</formula>
    </cfRule>
  </conditionalFormatting>
  <conditionalFormatting sqref="M2:N68">
    <cfRule type="expression" priority="5" aboveAverage="0" equalAverage="0" bottom="0" percent="0" rank="0" text="" dxfId="0">
      <formula>M2&lt;&gt;200</formula>
    </cfRule>
  </conditionalFormatting>
  <conditionalFormatting sqref="F2:F68">
    <cfRule type="expression" priority="6" aboveAverage="0" equalAverage="0" bottom="0" percent="0" rank="0" text="" dxfId="0">
      <formula>OR(F2&lt;42,F2&gt;45)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4" min="3" style="1" width="6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8" min="7" style="1" width="17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16" min="16" style="1" width="12"/>
  </cols>
  <sheetData>
    <row r="1" customFormat="false" ht="15" hidden="false" customHeight="false" outlineLevel="0" collapsed="false">
      <c r="A1" s="4" t="s">
        <v>81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85</v>
      </c>
      <c r="G1" s="4" t="s">
        <v>83</v>
      </c>
      <c r="H1" s="4" t="s">
        <v>84</v>
      </c>
      <c r="I1" s="4" t="s">
        <v>133</v>
      </c>
      <c r="J1" s="4" t="s">
        <v>134</v>
      </c>
      <c r="K1" s="4" t="s">
        <v>135</v>
      </c>
      <c r="L1" s="4" t="s">
        <v>136</v>
      </c>
      <c r="M1" s="4" t="s">
        <v>137</v>
      </c>
      <c r="N1" s="4" t="s">
        <v>138</v>
      </c>
      <c r="O1" s="4" t="s">
        <v>139</v>
      </c>
      <c r="P1" s="4" t="s">
        <v>140</v>
      </c>
    </row>
    <row r="2" customFormat="false" ht="15" hidden="false" customHeight="false" outlineLevel="0" collapsed="false">
      <c r="A2" s="5" t="n">
        <v>1</v>
      </c>
      <c r="B2" s="5" t="n">
        <v>21</v>
      </c>
      <c r="C2" s="5" t="s">
        <v>141</v>
      </c>
      <c r="D2" s="5" t="s">
        <v>142</v>
      </c>
      <c r="E2" s="5" t="n">
        <v>13600</v>
      </c>
      <c r="F2" s="27" t="n">
        <v>44252</v>
      </c>
      <c r="G2" s="28" t="n">
        <v>44207.4694444445</v>
      </c>
      <c r="H2" s="28" t="n">
        <v>44237.6361111111</v>
      </c>
      <c r="I2" s="24" t="n">
        <v>168.7</v>
      </c>
      <c r="J2" s="24" t="n">
        <v>16.6</v>
      </c>
      <c r="K2" s="24" t="n">
        <v>-152.1</v>
      </c>
      <c r="L2" s="24" t="n">
        <v>-7605</v>
      </c>
      <c r="M2" s="24" t="n">
        <v>-0.04</v>
      </c>
      <c r="N2" s="24" t="n">
        <v>50</v>
      </c>
      <c r="O2" s="5" t="str">
        <f aca="false">IF(ABS((J2-I2)-K2)&lt;=0.051,"OK","MISMATCH")</f>
        <v>OK</v>
      </c>
      <c r="P2" s="5" t="str">
        <f aca="false">IF(ABS(IF(C2="Buy",1,-1)*(J2-I2)*N2-L2)&lt;=1.01,"OK","MISMATCH")</f>
        <v>OK</v>
      </c>
    </row>
    <row r="3" customFormat="false" ht="15" hidden="false" customHeight="false" outlineLevel="0" collapsed="false">
      <c r="A3" s="5" t="n">
        <v>1</v>
      </c>
      <c r="B3" s="5" t="n">
        <v>22</v>
      </c>
      <c r="C3" s="5" t="s">
        <v>143</v>
      </c>
      <c r="D3" s="5" t="s">
        <v>144</v>
      </c>
      <c r="E3" s="5" t="n">
        <v>15100</v>
      </c>
      <c r="F3" s="27" t="n">
        <v>44252</v>
      </c>
      <c r="G3" s="28" t="n">
        <v>44207.4694444445</v>
      </c>
      <c r="H3" s="28" t="n">
        <v>44237.6361111111</v>
      </c>
      <c r="I3" s="24" t="n">
        <v>199.1</v>
      </c>
      <c r="J3" s="24" t="n">
        <v>256.2</v>
      </c>
      <c r="K3" s="24" t="n">
        <v>57.1</v>
      </c>
      <c r="L3" s="24" t="n">
        <v>-2855</v>
      </c>
      <c r="M3" s="24" t="n">
        <v>-0.53</v>
      </c>
      <c r="N3" s="24" t="n">
        <v>50</v>
      </c>
      <c r="O3" s="5" t="str">
        <f aca="false">IF(ABS((J3-I3)-K3)&lt;=0.051,"OK","MISMATCH")</f>
        <v>OK</v>
      </c>
      <c r="P3" s="5" t="str">
        <f aca="false">IF(ABS(IF(C3="Buy",1,-1)*(J3-I3)*N3-L3)&lt;=1.01,"OK","MISMATCH")</f>
        <v>OK</v>
      </c>
    </row>
    <row r="4" customFormat="false" ht="15" hidden="false" customHeight="false" outlineLevel="0" collapsed="false">
      <c r="A4" s="5" t="n">
        <v>1</v>
      </c>
      <c r="B4" s="5" t="n">
        <v>23</v>
      </c>
      <c r="C4" s="5" t="s">
        <v>141</v>
      </c>
      <c r="D4" s="5" t="s">
        <v>144</v>
      </c>
      <c r="E4" s="5" t="n">
        <v>15300</v>
      </c>
      <c r="F4" s="27" t="n">
        <v>44252</v>
      </c>
      <c r="G4" s="28" t="n">
        <v>44207.4694444445</v>
      </c>
      <c r="H4" s="28" t="n">
        <v>44237.6361111111</v>
      </c>
      <c r="I4" s="24" t="n">
        <v>147.3</v>
      </c>
      <c r="J4" s="24" t="n">
        <v>155.3</v>
      </c>
      <c r="K4" s="24" t="n">
        <v>8</v>
      </c>
      <c r="L4" s="24" t="n">
        <v>400</v>
      </c>
      <c r="M4" s="24" t="n">
        <v>0.39</v>
      </c>
      <c r="N4" s="24" t="n">
        <v>50</v>
      </c>
      <c r="O4" s="5" t="str">
        <f aca="false">IF(ABS((J4-I4)-K4)&lt;=0.051,"OK","MISMATCH")</f>
        <v>OK</v>
      </c>
      <c r="P4" s="5" t="str">
        <f aca="false">IF(ABS(IF(C4="Buy",1,-1)*(J4-I4)*N4-L4)&lt;=1.01,"OK","MISMATCH")</f>
        <v>OK</v>
      </c>
    </row>
    <row r="5" customFormat="false" ht="15" hidden="false" customHeight="false" outlineLevel="0" collapsed="false">
      <c r="A5" s="5" t="n">
        <v>1</v>
      </c>
      <c r="B5" s="5" t="n">
        <v>24</v>
      </c>
      <c r="C5" s="5" t="s">
        <v>143</v>
      </c>
      <c r="D5" s="5" t="s">
        <v>142</v>
      </c>
      <c r="E5" s="5" t="n">
        <v>13800</v>
      </c>
      <c r="F5" s="27" t="n">
        <v>44252</v>
      </c>
      <c r="G5" s="28" t="n">
        <v>44207.4694444445</v>
      </c>
      <c r="H5" s="28" t="n">
        <v>44237.6361111111</v>
      </c>
      <c r="I5" s="24" t="n">
        <v>217.4</v>
      </c>
      <c r="J5" s="24" t="n">
        <v>22.6</v>
      </c>
      <c r="K5" s="24" t="n">
        <v>-194.8</v>
      </c>
      <c r="L5" s="24" t="n">
        <v>9740</v>
      </c>
      <c r="M5" s="24" t="n">
        <v>0.06</v>
      </c>
      <c r="N5" s="24" t="n">
        <v>50</v>
      </c>
      <c r="O5" s="5" t="str">
        <f aca="false">IF(ABS((J5-I5)-K5)&lt;=0.051,"OK","MISMATCH")</f>
        <v>OK</v>
      </c>
      <c r="P5" s="5" t="str">
        <f aca="false">IF(ABS(IF(C5="Buy",1,-1)*(J5-I5)*N5-L5)&lt;=1.01,"OK","MISMATCH")</f>
        <v>OK</v>
      </c>
    </row>
    <row r="6" customFormat="false" ht="15" hidden="false" customHeight="false" outlineLevel="0" collapsed="false">
      <c r="A6" s="5" t="n">
        <v>2</v>
      </c>
      <c r="B6" s="5" t="n">
        <v>29</v>
      </c>
      <c r="C6" s="5" t="s">
        <v>143</v>
      </c>
      <c r="D6" s="5" t="s">
        <v>142</v>
      </c>
      <c r="E6" s="5" t="n">
        <v>14500</v>
      </c>
      <c r="F6" s="27" t="n">
        <v>44280</v>
      </c>
      <c r="G6" s="28" t="n">
        <v>44235.4694444445</v>
      </c>
      <c r="H6" s="28" t="n">
        <v>44265.6361111111</v>
      </c>
      <c r="I6" s="24" t="n">
        <v>237</v>
      </c>
      <c r="J6" s="24" t="n">
        <v>63.6</v>
      </c>
      <c r="K6" s="24" t="n">
        <v>-173.4</v>
      </c>
      <c r="L6" s="24" t="n">
        <v>8670</v>
      </c>
      <c r="M6" s="24" t="n">
        <v>0.16</v>
      </c>
      <c r="N6" s="24" t="n">
        <v>50</v>
      </c>
      <c r="O6" s="5" t="str">
        <f aca="false">IF(ABS((J6-I6)-K6)&lt;=0.051,"OK","MISMATCH")</f>
        <v>OK</v>
      </c>
      <c r="P6" s="5" t="str">
        <f aca="false">IF(ABS(IF(C6="Buy",1,-1)*(J6-I6)*N6-L6)&lt;=1.01,"OK","MISMATCH")</f>
        <v>OK</v>
      </c>
    </row>
    <row r="7" customFormat="false" ht="15" hidden="false" customHeight="false" outlineLevel="0" collapsed="false">
      <c r="A7" s="5" t="n">
        <v>2</v>
      </c>
      <c r="B7" s="5" t="n">
        <v>30</v>
      </c>
      <c r="C7" s="5" t="s">
        <v>141</v>
      </c>
      <c r="D7" s="5" t="s">
        <v>142</v>
      </c>
      <c r="E7" s="5" t="n">
        <v>14300</v>
      </c>
      <c r="F7" s="27" t="n">
        <v>44280</v>
      </c>
      <c r="G7" s="28" t="n">
        <v>44235.4694444445</v>
      </c>
      <c r="H7" s="28" t="n">
        <v>44265.6361111111</v>
      </c>
      <c r="I7" s="24" t="n">
        <v>195.1</v>
      </c>
      <c r="J7" s="24" t="n">
        <v>42.1</v>
      </c>
      <c r="K7" s="24" t="n">
        <v>-153</v>
      </c>
      <c r="L7" s="24" t="n">
        <v>-7650</v>
      </c>
      <c r="M7" s="24" t="n">
        <v>-0.11</v>
      </c>
      <c r="N7" s="24" t="n">
        <v>50</v>
      </c>
      <c r="O7" s="5" t="str">
        <f aca="false">IF(ABS((J7-I7)-K7)&lt;=0.051,"OK","MISMATCH")</f>
        <v>OK</v>
      </c>
      <c r="P7" s="5" t="str">
        <f aca="false">IF(ABS(IF(C7="Buy",1,-1)*(J7-I7)*N7-L7)&lt;=1.01,"OK","MISMATCH")</f>
        <v>OK</v>
      </c>
    </row>
    <row r="8" customFormat="false" ht="15" hidden="false" customHeight="false" outlineLevel="0" collapsed="false">
      <c r="A8" s="5" t="n">
        <v>2</v>
      </c>
      <c r="B8" s="5" t="n">
        <v>31</v>
      </c>
      <c r="C8" s="5" t="s">
        <v>143</v>
      </c>
      <c r="D8" s="5" t="s">
        <v>144</v>
      </c>
      <c r="E8" s="5" t="n">
        <v>15700</v>
      </c>
      <c r="F8" s="27" t="n">
        <v>44280</v>
      </c>
      <c r="G8" s="28" t="n">
        <v>44235.4694444445</v>
      </c>
      <c r="H8" s="28" t="n">
        <v>44265.6361111111</v>
      </c>
      <c r="I8" s="24" t="n">
        <v>206</v>
      </c>
      <c r="J8" s="24" t="n">
        <v>62</v>
      </c>
      <c r="K8" s="24" t="n">
        <v>-144</v>
      </c>
      <c r="L8" s="24" t="n">
        <v>7200</v>
      </c>
      <c r="M8" s="24" t="n">
        <v>-0.2</v>
      </c>
      <c r="N8" s="24" t="n">
        <v>50</v>
      </c>
      <c r="O8" s="5" t="str">
        <f aca="false">IF(ABS((J8-I8)-K8)&lt;=0.051,"OK","MISMATCH")</f>
        <v>OK</v>
      </c>
      <c r="P8" s="5" t="str">
        <f aca="false">IF(ABS(IF(C8="Buy",1,-1)*(J8-I8)*N8-L8)&lt;=1.01,"OK","MISMATCH")</f>
        <v>OK</v>
      </c>
    </row>
    <row r="9" customFormat="false" ht="15" hidden="false" customHeight="false" outlineLevel="0" collapsed="false">
      <c r="A9" s="5" t="n">
        <v>2</v>
      </c>
      <c r="B9" s="5" t="n">
        <v>32</v>
      </c>
      <c r="C9" s="5" t="s">
        <v>141</v>
      </c>
      <c r="D9" s="5" t="s">
        <v>144</v>
      </c>
      <c r="E9" s="5" t="n">
        <v>15900</v>
      </c>
      <c r="F9" s="27" t="n">
        <v>44280</v>
      </c>
      <c r="G9" s="28" t="n">
        <v>44235.4694444445</v>
      </c>
      <c r="H9" s="28" t="n">
        <v>44265.6361111111</v>
      </c>
      <c r="I9" s="24" t="n">
        <v>145.1</v>
      </c>
      <c r="J9" s="24" t="n">
        <v>29.7</v>
      </c>
      <c r="K9" s="24" t="n">
        <v>-115.4</v>
      </c>
      <c r="L9" s="24" t="n">
        <v>-5770</v>
      </c>
      <c r="M9" s="24" t="n">
        <v>0.11</v>
      </c>
      <c r="N9" s="24" t="n">
        <v>50</v>
      </c>
      <c r="O9" s="5" t="str">
        <f aca="false">IF(ABS((J9-I9)-K9)&lt;=0.051,"OK","MISMATCH")</f>
        <v>OK</v>
      </c>
      <c r="P9" s="5" t="str">
        <f aca="false">IF(ABS(IF(C9="Buy",1,-1)*(J9-I9)*N9-L9)&lt;=1.01,"OK","MISMATCH")</f>
        <v>OK</v>
      </c>
    </row>
    <row r="10" customFormat="false" ht="15" hidden="false" customHeight="false" outlineLevel="0" collapsed="false">
      <c r="A10" s="5" t="n">
        <v>3</v>
      </c>
      <c r="B10" s="5" t="n">
        <v>37</v>
      </c>
      <c r="C10" s="5" t="s">
        <v>143</v>
      </c>
      <c r="D10" s="5" t="s">
        <v>142</v>
      </c>
      <c r="E10" s="5" t="n">
        <v>14300</v>
      </c>
      <c r="F10" s="27" t="n">
        <v>44315</v>
      </c>
      <c r="G10" s="28" t="n">
        <v>44270.4694444445</v>
      </c>
      <c r="H10" s="28" t="n">
        <v>44295.6361111111</v>
      </c>
      <c r="I10" s="24" t="n">
        <v>216.6</v>
      </c>
      <c r="J10" s="24" t="n">
        <v>95.5</v>
      </c>
      <c r="K10" s="24" t="n">
        <v>-121.1</v>
      </c>
      <c r="L10" s="24" t="n">
        <v>6055</v>
      </c>
      <c r="M10" s="24" t="n">
        <v>0.21</v>
      </c>
      <c r="N10" s="24" t="n">
        <v>50</v>
      </c>
      <c r="O10" s="5" t="str">
        <f aca="false">IF(ABS((J10-I10)-K10)&lt;=0.051,"OK","MISMATCH")</f>
        <v>OK</v>
      </c>
      <c r="P10" s="5" t="str">
        <f aca="false">IF(ABS(IF(C10="Buy",1,-1)*(J10-I10)*N10-L10)&lt;=1.01,"OK","MISMATCH")</f>
        <v>OK</v>
      </c>
    </row>
    <row r="11" customFormat="false" ht="15" hidden="false" customHeight="false" outlineLevel="0" collapsed="false">
      <c r="A11" s="5" t="n">
        <v>3</v>
      </c>
      <c r="B11" s="5" t="n">
        <v>38</v>
      </c>
      <c r="C11" s="5" t="s">
        <v>141</v>
      </c>
      <c r="D11" s="5" t="s">
        <v>142</v>
      </c>
      <c r="E11" s="5" t="n">
        <v>14100</v>
      </c>
      <c r="F11" s="27" t="n">
        <v>44315</v>
      </c>
      <c r="G11" s="28" t="n">
        <v>44270.4694444445</v>
      </c>
      <c r="H11" s="28" t="n">
        <v>44295.6361111111</v>
      </c>
      <c r="I11" s="24" t="n">
        <v>168.2</v>
      </c>
      <c r="J11" s="24" t="n">
        <v>67</v>
      </c>
      <c r="K11" s="24" t="n">
        <v>-101.2</v>
      </c>
      <c r="L11" s="24" t="n">
        <v>-5060</v>
      </c>
      <c r="M11" s="24" t="n">
        <v>-0.15</v>
      </c>
      <c r="N11" s="24" t="n">
        <v>50</v>
      </c>
      <c r="O11" s="5" t="str">
        <f aca="false">IF(ABS((J11-I11)-K11)&lt;=0.051,"OK","MISMATCH")</f>
        <v>OK</v>
      </c>
      <c r="P11" s="5" t="str">
        <f aca="false">IF(ABS(IF(C11="Buy",1,-1)*(J11-I11)*N11-L11)&lt;=1.01,"OK","MISMATCH")</f>
        <v>OK</v>
      </c>
    </row>
    <row r="12" customFormat="false" ht="15" hidden="false" customHeight="false" outlineLevel="0" collapsed="false">
      <c r="A12" s="5" t="n">
        <v>3</v>
      </c>
      <c r="B12" s="5" t="n">
        <v>39</v>
      </c>
      <c r="C12" s="5" t="s">
        <v>143</v>
      </c>
      <c r="D12" s="5" t="s">
        <v>144</v>
      </c>
      <c r="E12" s="5" t="n">
        <v>15500</v>
      </c>
      <c r="F12" s="27" t="n">
        <v>44315</v>
      </c>
      <c r="G12" s="28" t="n">
        <v>44270.4694444445</v>
      </c>
      <c r="H12" s="28" t="n">
        <v>44295.6361111111</v>
      </c>
      <c r="I12" s="24" t="n">
        <v>184</v>
      </c>
      <c r="J12" s="24" t="n">
        <v>40.8</v>
      </c>
      <c r="K12" s="24" t="n">
        <v>-143.2</v>
      </c>
      <c r="L12" s="24" t="n">
        <v>7159</v>
      </c>
      <c r="M12" s="24" t="n">
        <v>-0.14</v>
      </c>
      <c r="N12" s="24" t="n">
        <v>50</v>
      </c>
      <c r="O12" s="5" t="str">
        <f aca="false">IF(ABS((J12-I12)-K12)&lt;=0.051,"OK","MISMATCH")</f>
        <v>OK</v>
      </c>
      <c r="P12" s="5" t="str">
        <f aca="false">IF(ABS(IF(C12="Buy",1,-1)*(J12-I12)*N12-L12)&lt;=1.01,"OK","MISMATCH")</f>
        <v>OK</v>
      </c>
    </row>
    <row r="13" customFormat="false" ht="15" hidden="false" customHeight="false" outlineLevel="0" collapsed="false">
      <c r="A13" s="5" t="n">
        <v>3</v>
      </c>
      <c r="B13" s="5" t="n">
        <v>40</v>
      </c>
      <c r="C13" s="5" t="s">
        <v>141</v>
      </c>
      <c r="D13" s="5" t="s">
        <v>144</v>
      </c>
      <c r="E13" s="5" t="n">
        <v>15700</v>
      </c>
      <c r="F13" s="27" t="n">
        <v>44315</v>
      </c>
      <c r="G13" s="28" t="n">
        <v>44270.4694444445</v>
      </c>
      <c r="H13" s="28" t="n">
        <v>44295.6361111111</v>
      </c>
      <c r="I13" s="24" t="n">
        <v>129</v>
      </c>
      <c r="J13" s="24" t="n">
        <v>17.7</v>
      </c>
      <c r="K13" s="24" t="n">
        <v>-111.3</v>
      </c>
      <c r="L13" s="24" t="n">
        <v>-5565</v>
      </c>
      <c r="M13" s="24" t="n">
        <v>0.07</v>
      </c>
      <c r="N13" s="24" t="n">
        <v>50</v>
      </c>
      <c r="O13" s="5" t="str">
        <f aca="false">IF(ABS((J13-I13)-K13)&lt;=0.051,"OK","MISMATCH")</f>
        <v>OK</v>
      </c>
      <c r="P13" s="5" t="str">
        <f aca="false">IF(ABS(IF(C13="Buy",1,-1)*(J13-I13)*N13-L13)&lt;=1.01,"OK","MISMATCH")</f>
        <v>OK</v>
      </c>
    </row>
    <row r="14" customFormat="false" ht="15" hidden="false" customHeight="false" outlineLevel="0" collapsed="false">
      <c r="A14" s="5" t="n">
        <v>4</v>
      </c>
      <c r="B14" s="5" t="n">
        <v>45</v>
      </c>
      <c r="C14" s="5" t="s">
        <v>143</v>
      </c>
      <c r="D14" s="5" t="s">
        <v>142</v>
      </c>
      <c r="E14" s="5" t="n">
        <v>14000</v>
      </c>
      <c r="F14" s="27" t="n">
        <v>44343</v>
      </c>
      <c r="G14" s="28" t="n">
        <v>44298.4694444445</v>
      </c>
      <c r="H14" s="28" t="n">
        <v>44328.6361111111</v>
      </c>
      <c r="I14" s="24" t="n">
        <v>236</v>
      </c>
      <c r="J14" s="24" t="n">
        <v>45.6</v>
      </c>
      <c r="K14" s="24" t="n">
        <v>-190.4</v>
      </c>
      <c r="L14" s="24" t="n">
        <v>9520</v>
      </c>
      <c r="M14" s="24" t="n">
        <v>0.13</v>
      </c>
      <c r="N14" s="24" t="n">
        <v>50</v>
      </c>
      <c r="O14" s="5" t="str">
        <f aca="false">IF(ABS((J14-I14)-K14)&lt;=0.051,"OK","MISMATCH")</f>
        <v>OK</v>
      </c>
      <c r="P14" s="5" t="str">
        <f aca="false">IF(ABS(IF(C14="Buy",1,-1)*(J14-I14)*N14-L14)&lt;=1.01,"OK","MISMATCH")</f>
        <v>OK</v>
      </c>
    </row>
    <row r="15" customFormat="false" ht="15" hidden="false" customHeight="false" outlineLevel="0" collapsed="false">
      <c r="A15" s="5" t="n">
        <v>4</v>
      </c>
      <c r="B15" s="5" t="n">
        <v>46</v>
      </c>
      <c r="C15" s="5" t="s">
        <v>141</v>
      </c>
      <c r="D15" s="5" t="s">
        <v>142</v>
      </c>
      <c r="E15" s="5" t="n">
        <v>13800</v>
      </c>
      <c r="F15" s="27" t="n">
        <v>44343</v>
      </c>
      <c r="G15" s="28" t="n">
        <v>44298.4694444445</v>
      </c>
      <c r="H15" s="28" t="n">
        <v>44328.6361111111</v>
      </c>
      <c r="I15" s="24" t="n">
        <v>178.8</v>
      </c>
      <c r="J15" s="24" t="n">
        <v>27.1</v>
      </c>
      <c r="K15" s="24" t="n">
        <v>-151.7</v>
      </c>
      <c r="L15" s="24" t="n">
        <v>-7584</v>
      </c>
      <c r="M15" s="24" t="n">
        <v>-0.08</v>
      </c>
      <c r="N15" s="24" t="n">
        <v>50</v>
      </c>
      <c r="O15" s="5" t="str">
        <f aca="false">IF(ABS((J15-I15)-K15)&lt;=0.051,"OK","MISMATCH")</f>
        <v>OK</v>
      </c>
      <c r="P15" s="5" t="str">
        <f aca="false">IF(ABS(IF(C15="Buy",1,-1)*(J15-I15)*N15-L15)&lt;=1.01,"OK","MISMATCH")</f>
        <v>OK</v>
      </c>
    </row>
    <row r="16" customFormat="false" ht="15" hidden="false" customHeight="false" outlineLevel="0" collapsed="false">
      <c r="A16" s="5" t="n">
        <v>4</v>
      </c>
      <c r="B16" s="5" t="n">
        <v>47</v>
      </c>
      <c r="C16" s="5" t="s">
        <v>143</v>
      </c>
      <c r="D16" s="5" t="s">
        <v>144</v>
      </c>
      <c r="E16" s="5" t="n">
        <v>15100</v>
      </c>
      <c r="F16" s="27" t="n">
        <v>44343</v>
      </c>
      <c r="G16" s="28" t="n">
        <v>44298.4694444445</v>
      </c>
      <c r="H16" s="28" t="n">
        <v>44328.6361111111</v>
      </c>
      <c r="I16" s="24" t="n">
        <v>179.2</v>
      </c>
      <c r="J16" s="24" t="n">
        <v>72.5</v>
      </c>
      <c r="K16" s="24" t="n">
        <v>-106.7</v>
      </c>
      <c r="L16" s="24" t="n">
        <v>5335</v>
      </c>
      <c r="M16" s="24" t="n">
        <v>-0.24</v>
      </c>
      <c r="N16" s="24" t="n">
        <v>50</v>
      </c>
      <c r="O16" s="5" t="str">
        <f aca="false">IF(ABS((J16-I16)-K16)&lt;=0.051,"OK","MISMATCH")</f>
        <v>OK</v>
      </c>
      <c r="P16" s="5" t="str">
        <f aca="false">IF(ABS(IF(C16="Buy",1,-1)*(J16-I16)*N16-L16)&lt;=1.01,"OK","MISMATCH")</f>
        <v>OK</v>
      </c>
    </row>
    <row r="17" customFormat="false" ht="15" hidden="false" customHeight="false" outlineLevel="0" collapsed="false">
      <c r="A17" s="5" t="n">
        <v>4</v>
      </c>
      <c r="B17" s="5" t="n">
        <v>48</v>
      </c>
      <c r="C17" s="5" t="s">
        <v>141</v>
      </c>
      <c r="D17" s="5" t="s">
        <v>144</v>
      </c>
      <c r="E17" s="5" t="n">
        <v>15300</v>
      </c>
      <c r="F17" s="27" t="n">
        <v>44343</v>
      </c>
      <c r="G17" s="28" t="n">
        <v>44298.4694444445</v>
      </c>
      <c r="H17" s="28" t="n">
        <v>44328.6361111111</v>
      </c>
      <c r="I17" s="24" t="n">
        <v>123.3</v>
      </c>
      <c r="J17" s="24" t="n">
        <v>33.4</v>
      </c>
      <c r="K17" s="24" t="n">
        <v>-89.9</v>
      </c>
      <c r="L17" s="24" t="n">
        <v>-4495</v>
      </c>
      <c r="M17" s="24" t="n">
        <v>0.13</v>
      </c>
      <c r="N17" s="24" t="n">
        <v>50</v>
      </c>
      <c r="O17" s="5" t="str">
        <f aca="false">IF(ABS((J17-I17)-K17)&lt;=0.051,"OK","MISMATCH")</f>
        <v>OK</v>
      </c>
      <c r="P17" s="5" t="str">
        <f aca="false">IF(ABS(IF(C17="Buy",1,-1)*(J17-I17)*N17-L17)&lt;=1.01,"OK","MISMATCH")</f>
        <v>OK</v>
      </c>
    </row>
    <row r="18" customFormat="false" ht="15" hidden="false" customHeight="false" outlineLevel="0" collapsed="false">
      <c r="A18" s="5" t="n">
        <v>5</v>
      </c>
      <c r="B18" s="5" t="n">
        <v>53</v>
      </c>
      <c r="C18" s="5" t="s">
        <v>143</v>
      </c>
      <c r="D18" s="5" t="s">
        <v>142</v>
      </c>
      <c r="E18" s="5" t="n">
        <v>14500</v>
      </c>
      <c r="F18" s="27" t="n">
        <v>44371</v>
      </c>
      <c r="G18" s="28" t="n">
        <v>44326.4694444445</v>
      </c>
      <c r="H18" s="28" t="n">
        <v>44356.6361111111</v>
      </c>
      <c r="I18" s="24" t="n">
        <v>214.5</v>
      </c>
      <c r="J18" s="24" t="n">
        <v>8.9</v>
      </c>
      <c r="K18" s="24" t="n">
        <v>-205.6</v>
      </c>
      <c r="L18" s="24" t="n">
        <v>10280</v>
      </c>
      <c r="M18" s="24" t="n">
        <v>0.03</v>
      </c>
      <c r="N18" s="24" t="n">
        <v>50</v>
      </c>
      <c r="O18" s="5" t="str">
        <f aca="false">IF(ABS((J18-I18)-K18)&lt;=0.051,"OK","MISMATCH")</f>
        <v>OK</v>
      </c>
      <c r="P18" s="5" t="str">
        <f aca="false">IF(ABS(IF(C18="Buy",1,-1)*(J18-I18)*N18-L18)&lt;=1.01,"OK","MISMATCH")</f>
        <v>OK</v>
      </c>
    </row>
    <row r="19" customFormat="false" ht="15" hidden="false" customHeight="false" outlineLevel="0" collapsed="false">
      <c r="A19" s="5" t="n">
        <v>5</v>
      </c>
      <c r="B19" s="5" t="n">
        <v>54</v>
      </c>
      <c r="C19" s="5" t="s">
        <v>141</v>
      </c>
      <c r="D19" s="5" t="s">
        <v>142</v>
      </c>
      <c r="E19" s="5" t="n">
        <v>14300</v>
      </c>
      <c r="F19" s="27" t="n">
        <v>44371</v>
      </c>
      <c r="G19" s="28" t="n">
        <v>44326.4694444445</v>
      </c>
      <c r="H19" s="28" t="n">
        <v>44356.6361111111</v>
      </c>
      <c r="I19" s="24" t="n">
        <v>165.8</v>
      </c>
      <c r="J19" s="24" t="n">
        <v>5.7</v>
      </c>
      <c r="K19" s="24" t="n">
        <v>-160.1</v>
      </c>
      <c r="L19" s="24" t="n">
        <v>-8005</v>
      </c>
      <c r="M19" s="24" t="n">
        <v>-0.02</v>
      </c>
      <c r="N19" s="24" t="n">
        <v>50</v>
      </c>
      <c r="O19" s="5" t="str">
        <f aca="false">IF(ABS((J19-I19)-K19)&lt;=0.051,"OK","MISMATCH")</f>
        <v>OK</v>
      </c>
      <c r="P19" s="5" t="str">
        <f aca="false">IF(ABS(IF(C19="Buy",1,-1)*(J19-I19)*N19-L19)&lt;=1.01,"OK","MISMATCH")</f>
        <v>OK</v>
      </c>
    </row>
    <row r="20" customFormat="false" ht="15" hidden="false" customHeight="false" outlineLevel="0" collapsed="false">
      <c r="A20" s="5" t="n">
        <v>5</v>
      </c>
      <c r="B20" s="5" t="n">
        <v>55</v>
      </c>
      <c r="C20" s="5" t="s">
        <v>143</v>
      </c>
      <c r="D20" s="5" t="s">
        <v>144</v>
      </c>
      <c r="E20" s="5" t="n">
        <v>15500</v>
      </c>
      <c r="F20" s="27" t="n">
        <v>44371</v>
      </c>
      <c r="G20" s="28" t="n">
        <v>44326.4694444445</v>
      </c>
      <c r="H20" s="28" t="n">
        <v>44356.6361111111</v>
      </c>
      <c r="I20" s="24" t="n">
        <v>175.1</v>
      </c>
      <c r="J20" s="24" t="n">
        <v>272.2</v>
      </c>
      <c r="K20" s="24" t="n">
        <v>97.1</v>
      </c>
      <c r="L20" s="24" t="n">
        <v>-4855</v>
      </c>
      <c r="M20" s="24" t="n">
        <v>-0.66</v>
      </c>
      <c r="N20" s="24" t="n">
        <v>50</v>
      </c>
      <c r="O20" s="5" t="str">
        <f aca="false">IF(ABS((J20-I20)-K20)&lt;=0.051,"OK","MISMATCH")</f>
        <v>OK</v>
      </c>
      <c r="P20" s="5" t="str">
        <f aca="false">IF(ABS(IF(C20="Buy",1,-1)*(J20-I20)*N20-L20)&lt;=1.01,"OK","MISMATCH")</f>
        <v>OK</v>
      </c>
    </row>
    <row r="21" customFormat="false" ht="15" hidden="false" customHeight="false" outlineLevel="0" collapsed="false">
      <c r="A21" s="5" t="n">
        <v>5</v>
      </c>
      <c r="B21" s="5" t="n">
        <v>56</v>
      </c>
      <c r="C21" s="5" t="s">
        <v>141</v>
      </c>
      <c r="D21" s="5" t="s">
        <v>144</v>
      </c>
      <c r="E21" s="5" t="n">
        <v>15700</v>
      </c>
      <c r="F21" s="27" t="n">
        <v>44371</v>
      </c>
      <c r="G21" s="28" t="n">
        <v>44326.4694444445</v>
      </c>
      <c r="H21" s="28" t="n">
        <v>44356.6361111111</v>
      </c>
      <c r="I21" s="24" t="n">
        <v>113.8</v>
      </c>
      <c r="J21" s="24" t="n">
        <v>152.2</v>
      </c>
      <c r="K21" s="24" t="n">
        <v>38.4</v>
      </c>
      <c r="L21" s="24" t="n">
        <v>1920</v>
      </c>
      <c r="M21" s="24" t="n">
        <v>0.48</v>
      </c>
      <c r="N21" s="24" t="n">
        <v>50</v>
      </c>
      <c r="O21" s="5" t="str">
        <f aca="false">IF(ABS((J21-I21)-K21)&lt;=0.051,"OK","MISMATCH")</f>
        <v>OK</v>
      </c>
      <c r="P21" s="5" t="str">
        <f aca="false">IF(ABS(IF(C21="Buy",1,-1)*(J21-I21)*N21-L21)&lt;=1.01,"OK","MISMATCH")</f>
        <v>OK</v>
      </c>
    </row>
    <row r="22" customFormat="false" ht="15" hidden="false" customHeight="false" outlineLevel="0" collapsed="false">
      <c r="A22" s="5" t="n">
        <v>6</v>
      </c>
      <c r="B22" s="5" t="n">
        <v>61</v>
      </c>
      <c r="C22" s="5" t="s">
        <v>143</v>
      </c>
      <c r="D22" s="5" t="s">
        <v>142</v>
      </c>
      <c r="E22" s="5" t="n">
        <v>15400</v>
      </c>
      <c r="F22" s="27" t="n">
        <v>44406</v>
      </c>
      <c r="G22" s="28" t="n">
        <v>44361.4694444445</v>
      </c>
      <c r="H22" s="28" t="n">
        <v>44386.6361111111</v>
      </c>
      <c r="I22" s="24" t="n">
        <v>164.9</v>
      </c>
      <c r="J22" s="24" t="n">
        <v>70.1</v>
      </c>
      <c r="K22" s="24" t="n">
        <v>-94.8</v>
      </c>
      <c r="L22" s="24" t="n">
        <v>4740</v>
      </c>
      <c r="M22" s="24" t="n">
        <v>0.24</v>
      </c>
      <c r="N22" s="24" t="n">
        <v>50</v>
      </c>
      <c r="O22" s="5" t="str">
        <f aca="false">IF(ABS((J22-I22)-K22)&lt;=0.051,"OK","MISMATCH")</f>
        <v>OK</v>
      </c>
      <c r="P22" s="5" t="str">
        <f aca="false">IF(ABS(IF(C22="Buy",1,-1)*(J22-I22)*N22-L22)&lt;=1.01,"OK","MISMATCH")</f>
        <v>OK</v>
      </c>
    </row>
    <row r="23" customFormat="false" ht="15" hidden="false" customHeight="false" outlineLevel="0" collapsed="false">
      <c r="A23" s="5" t="n">
        <v>6</v>
      </c>
      <c r="B23" s="5" t="n">
        <v>62</v>
      </c>
      <c r="C23" s="5" t="s">
        <v>141</v>
      </c>
      <c r="D23" s="5" t="s">
        <v>142</v>
      </c>
      <c r="E23" s="5" t="n">
        <v>15200</v>
      </c>
      <c r="F23" s="27" t="n">
        <v>44406</v>
      </c>
      <c r="G23" s="28" t="n">
        <v>44361.4694444445</v>
      </c>
      <c r="H23" s="28" t="n">
        <v>44386.6361111111</v>
      </c>
      <c r="I23" s="24" t="n">
        <v>114.2</v>
      </c>
      <c r="J23" s="24" t="n">
        <v>38.7</v>
      </c>
      <c r="K23" s="24" t="n">
        <v>-75.5</v>
      </c>
      <c r="L23" s="24" t="n">
        <v>-3775</v>
      </c>
      <c r="M23" s="24" t="n">
        <v>-0.14</v>
      </c>
      <c r="N23" s="24" t="n">
        <v>50</v>
      </c>
      <c r="O23" s="5" t="str">
        <f aca="false">IF(ABS((J23-I23)-K23)&lt;=0.051,"OK","MISMATCH")</f>
        <v>OK</v>
      </c>
      <c r="P23" s="5" t="str">
        <f aca="false">IF(ABS(IF(C23="Buy",1,-1)*(J23-I23)*N23-L23)&lt;=1.01,"OK","MISMATCH")</f>
        <v>OK</v>
      </c>
    </row>
    <row r="24" customFormat="false" ht="15" hidden="false" customHeight="false" outlineLevel="0" collapsed="false">
      <c r="A24" s="5" t="n">
        <v>6</v>
      </c>
      <c r="B24" s="5" t="n">
        <v>63</v>
      </c>
      <c r="C24" s="5" t="s">
        <v>143</v>
      </c>
      <c r="D24" s="5" t="s">
        <v>144</v>
      </c>
      <c r="E24" s="5" t="n">
        <v>16100</v>
      </c>
      <c r="F24" s="27" t="n">
        <v>44406</v>
      </c>
      <c r="G24" s="28" t="n">
        <v>44361.4694444445</v>
      </c>
      <c r="H24" s="28" t="n">
        <v>44386.6361111111</v>
      </c>
      <c r="I24" s="24" t="n">
        <v>144.8</v>
      </c>
      <c r="J24" s="24" t="n">
        <v>39.1</v>
      </c>
      <c r="K24" s="24" t="n">
        <v>-105.7</v>
      </c>
      <c r="L24" s="24" t="n">
        <v>5285</v>
      </c>
      <c r="M24" s="24" t="n">
        <v>-0.18</v>
      </c>
      <c r="N24" s="24" t="n">
        <v>50</v>
      </c>
      <c r="O24" s="5" t="str">
        <f aca="false">IF(ABS((J24-I24)-K24)&lt;=0.051,"OK","MISMATCH")</f>
        <v>OK</v>
      </c>
      <c r="P24" s="5" t="str">
        <f aca="false">IF(ABS(IF(C24="Buy",1,-1)*(J24-I24)*N24-L24)&lt;=1.01,"OK","MISMATCH")</f>
        <v>OK</v>
      </c>
    </row>
    <row r="25" customFormat="false" ht="15" hidden="false" customHeight="false" outlineLevel="0" collapsed="false">
      <c r="A25" s="5" t="n">
        <v>6</v>
      </c>
      <c r="B25" s="5" t="n">
        <v>64</v>
      </c>
      <c r="C25" s="5" t="s">
        <v>141</v>
      </c>
      <c r="D25" s="5" t="s">
        <v>144</v>
      </c>
      <c r="E25" s="5" t="n">
        <v>16300</v>
      </c>
      <c r="F25" s="27" t="n">
        <v>44406</v>
      </c>
      <c r="G25" s="28" t="n">
        <v>44361.4694444445</v>
      </c>
      <c r="H25" s="28" t="n">
        <v>44386.6361111111</v>
      </c>
      <c r="I25" s="24" t="n">
        <v>84.3</v>
      </c>
      <c r="J25" s="24" t="n">
        <v>15.6</v>
      </c>
      <c r="K25" s="24" t="n">
        <v>-68.7</v>
      </c>
      <c r="L25" s="24" t="n">
        <v>-3435</v>
      </c>
      <c r="M25" s="24" t="n">
        <v>0.08</v>
      </c>
      <c r="N25" s="24" t="n">
        <v>50</v>
      </c>
      <c r="O25" s="5" t="str">
        <f aca="false">IF(ABS((J25-I25)-K25)&lt;=0.051,"OK","MISMATCH")</f>
        <v>OK</v>
      </c>
      <c r="P25" s="5" t="str">
        <f aca="false">IF(ABS(IF(C25="Buy",1,-1)*(J25-I25)*N25-L25)&lt;=1.01,"OK","MISMATCH")</f>
        <v>OK</v>
      </c>
    </row>
    <row r="26" customFormat="false" ht="15" hidden="false" customHeight="false" outlineLevel="0" collapsed="false">
      <c r="A26" s="5" t="n">
        <v>7</v>
      </c>
      <c r="B26" s="5" t="n">
        <v>69</v>
      </c>
      <c r="C26" s="5" t="s">
        <v>143</v>
      </c>
      <c r="D26" s="5" t="s">
        <v>142</v>
      </c>
      <c r="E26" s="5" t="n">
        <v>15500</v>
      </c>
      <c r="F26" s="27" t="n">
        <v>44434</v>
      </c>
      <c r="G26" s="28" t="n">
        <v>44389.4694444445</v>
      </c>
      <c r="H26" s="28" t="n">
        <v>44419.6361111111</v>
      </c>
      <c r="I26" s="24" t="n">
        <v>153.1</v>
      </c>
      <c r="J26" s="24" t="n">
        <v>12.8</v>
      </c>
      <c r="K26" s="24" t="n">
        <v>-140.3</v>
      </c>
      <c r="L26" s="24" t="n">
        <v>7015</v>
      </c>
      <c r="M26" s="24" t="n">
        <v>0.06</v>
      </c>
      <c r="N26" s="24" t="n">
        <v>50</v>
      </c>
      <c r="O26" s="5" t="str">
        <f aca="false">IF(ABS((J26-I26)-K26)&lt;=0.051,"OK","MISMATCH")</f>
        <v>OK</v>
      </c>
      <c r="P26" s="5" t="str">
        <f aca="false">IF(ABS(IF(C26="Buy",1,-1)*(J26-I26)*N26-L26)&lt;=1.01,"OK","MISMATCH")</f>
        <v>OK</v>
      </c>
    </row>
    <row r="27" customFormat="false" ht="15" hidden="false" customHeight="false" outlineLevel="0" collapsed="false">
      <c r="A27" s="5" t="n">
        <v>7</v>
      </c>
      <c r="B27" s="5" t="n">
        <v>70</v>
      </c>
      <c r="C27" s="5" t="s">
        <v>141</v>
      </c>
      <c r="D27" s="5" t="s">
        <v>142</v>
      </c>
      <c r="E27" s="5" t="n">
        <v>15300</v>
      </c>
      <c r="F27" s="27" t="n">
        <v>44434</v>
      </c>
      <c r="G27" s="28" t="n">
        <v>44389.4694444445</v>
      </c>
      <c r="H27" s="28" t="n">
        <v>44419.6361111111</v>
      </c>
      <c r="I27" s="24" t="n">
        <v>102.5</v>
      </c>
      <c r="J27" s="24" t="n">
        <v>6.9</v>
      </c>
      <c r="K27" s="24" t="n">
        <v>-95.6</v>
      </c>
      <c r="L27" s="24" t="n">
        <v>-4780</v>
      </c>
      <c r="M27" s="24" t="n">
        <v>-0.03</v>
      </c>
      <c r="N27" s="24" t="n">
        <v>50</v>
      </c>
      <c r="O27" s="5" t="str">
        <f aca="false">IF(ABS((J27-I27)-K27)&lt;=0.051,"OK","MISMATCH")</f>
        <v>OK</v>
      </c>
      <c r="P27" s="5" t="str">
        <f aca="false">IF(ABS(IF(C27="Buy",1,-1)*(J27-I27)*N27-L27)&lt;=1.01,"OK","MISMATCH")</f>
        <v>OK</v>
      </c>
    </row>
    <row r="28" customFormat="false" ht="15" hidden="false" customHeight="false" outlineLevel="0" collapsed="false">
      <c r="A28" s="5" t="n">
        <v>7</v>
      </c>
      <c r="B28" s="5" t="n">
        <v>71</v>
      </c>
      <c r="C28" s="5" t="s">
        <v>143</v>
      </c>
      <c r="D28" s="5" t="s">
        <v>144</v>
      </c>
      <c r="E28" s="5" t="n">
        <v>16100</v>
      </c>
      <c r="F28" s="27" t="n">
        <v>44434</v>
      </c>
      <c r="G28" s="28" t="n">
        <v>44389.4694444445</v>
      </c>
      <c r="H28" s="28" t="n">
        <v>44419.6361111111</v>
      </c>
      <c r="I28" s="24" t="n">
        <v>140.7</v>
      </c>
      <c r="J28" s="24" t="n">
        <v>262.3</v>
      </c>
      <c r="K28" s="24" t="n">
        <v>121.6</v>
      </c>
      <c r="L28" s="24" t="n">
        <v>-6080</v>
      </c>
      <c r="M28" s="24" t="n">
        <v>-0.68</v>
      </c>
      <c r="N28" s="24" t="n">
        <v>50</v>
      </c>
      <c r="O28" s="5" t="str">
        <f aca="false">IF(ABS((J28-I28)-K28)&lt;=0.051,"OK","MISMATCH")</f>
        <v>OK</v>
      </c>
      <c r="P28" s="5" t="str">
        <f aca="false">IF(ABS(IF(C28="Buy",1,-1)*(J28-I28)*N28-L28)&lt;=1.01,"OK","MISMATCH")</f>
        <v>OK</v>
      </c>
    </row>
    <row r="29" customFormat="false" ht="15" hidden="false" customHeight="false" outlineLevel="0" collapsed="false">
      <c r="A29" s="5" t="n">
        <v>7</v>
      </c>
      <c r="B29" s="5" t="n">
        <v>72</v>
      </c>
      <c r="C29" s="5" t="s">
        <v>141</v>
      </c>
      <c r="D29" s="5" t="s">
        <v>144</v>
      </c>
      <c r="E29" s="5" t="n">
        <v>16300</v>
      </c>
      <c r="F29" s="27" t="n">
        <v>44434</v>
      </c>
      <c r="G29" s="28" t="n">
        <v>44389.4694444445</v>
      </c>
      <c r="H29" s="28" t="n">
        <v>44419.6361111111</v>
      </c>
      <c r="I29" s="24" t="n">
        <v>74</v>
      </c>
      <c r="J29" s="24" t="n">
        <v>134.3</v>
      </c>
      <c r="K29" s="24" t="n">
        <v>60.3</v>
      </c>
      <c r="L29" s="24" t="n">
        <v>3015</v>
      </c>
      <c r="M29" s="24" t="n">
        <v>0.48</v>
      </c>
      <c r="N29" s="24" t="n">
        <v>50</v>
      </c>
      <c r="O29" s="5" t="str">
        <f aca="false">IF(ABS((J29-I29)-K29)&lt;=0.051,"OK","MISMATCH")</f>
        <v>OK</v>
      </c>
      <c r="P29" s="5" t="str">
        <f aca="false">IF(ABS(IF(C29="Buy",1,-1)*(J29-I29)*N29-L29)&lt;=1.01,"OK","MISMATCH")</f>
        <v>OK</v>
      </c>
    </row>
    <row r="30" customFormat="false" ht="15" hidden="false" customHeight="false" outlineLevel="0" collapsed="false">
      <c r="A30" s="5" t="n">
        <v>8</v>
      </c>
      <c r="B30" s="5" t="n">
        <v>77</v>
      </c>
      <c r="C30" s="5" t="s">
        <v>143</v>
      </c>
      <c r="D30" s="5" t="s">
        <v>142</v>
      </c>
      <c r="E30" s="5" t="n">
        <v>16200</v>
      </c>
      <c r="F30" s="27" t="n">
        <v>44469</v>
      </c>
      <c r="G30" s="28" t="n">
        <v>44424.4694444445</v>
      </c>
      <c r="H30" s="28" t="n">
        <v>44454.6361111111</v>
      </c>
      <c r="I30" s="24" t="n">
        <v>135.9</v>
      </c>
      <c r="J30" s="24" t="n">
        <v>9.8</v>
      </c>
      <c r="K30" s="24" t="n">
        <v>-126.1</v>
      </c>
      <c r="L30" s="24" t="n">
        <v>6305</v>
      </c>
      <c r="M30" s="24" t="n">
        <v>0.03</v>
      </c>
      <c r="N30" s="24" t="n">
        <v>50</v>
      </c>
      <c r="O30" s="5" t="str">
        <f aca="false">IF(ABS((J30-I30)-K30)&lt;=0.051,"OK","MISMATCH")</f>
        <v>OK</v>
      </c>
      <c r="P30" s="5" t="str">
        <f aca="false">IF(ABS(IF(C30="Buy",1,-1)*(J30-I30)*N30-L30)&lt;=1.01,"OK","MISMATCH")</f>
        <v>OK</v>
      </c>
    </row>
    <row r="31" customFormat="false" ht="15" hidden="false" customHeight="false" outlineLevel="0" collapsed="false">
      <c r="A31" s="5" t="n">
        <v>8</v>
      </c>
      <c r="B31" s="5" t="n">
        <v>78</v>
      </c>
      <c r="C31" s="5" t="s">
        <v>141</v>
      </c>
      <c r="D31" s="5" t="s">
        <v>142</v>
      </c>
      <c r="E31" s="5" t="n">
        <v>16000</v>
      </c>
      <c r="F31" s="27" t="n">
        <v>44469</v>
      </c>
      <c r="G31" s="28" t="n">
        <v>44424.4694444445</v>
      </c>
      <c r="H31" s="28" t="n">
        <v>44454.6361111111</v>
      </c>
      <c r="I31" s="24" t="n">
        <v>95</v>
      </c>
      <c r="J31" s="24" t="n">
        <v>8.9</v>
      </c>
      <c r="K31" s="24" t="n">
        <v>-86.1</v>
      </c>
      <c r="L31" s="24" t="n">
        <v>-4305</v>
      </c>
      <c r="M31" s="24" t="n">
        <v>-0.03</v>
      </c>
      <c r="N31" s="24" t="n">
        <v>50</v>
      </c>
      <c r="O31" s="5" t="str">
        <f aca="false">IF(ABS((J31-I31)-K31)&lt;=0.051,"OK","MISMATCH")</f>
        <v>OK</v>
      </c>
      <c r="P31" s="5" t="str">
        <f aca="false">IF(ABS(IF(C31="Buy",1,-1)*(J31-I31)*N31-L31)&lt;=1.01,"OK","MISMATCH")</f>
        <v>OK</v>
      </c>
    </row>
    <row r="32" customFormat="false" ht="15" hidden="false" customHeight="false" outlineLevel="0" collapsed="false">
      <c r="A32" s="5" t="n">
        <v>8</v>
      </c>
      <c r="B32" s="5" t="n">
        <v>79</v>
      </c>
      <c r="C32" s="5" t="s">
        <v>143</v>
      </c>
      <c r="D32" s="5" t="s">
        <v>144</v>
      </c>
      <c r="E32" s="5" t="n">
        <v>16900</v>
      </c>
      <c r="F32" s="27" t="n">
        <v>44469</v>
      </c>
      <c r="G32" s="28" t="n">
        <v>44424.4694444445</v>
      </c>
      <c r="H32" s="28" t="n">
        <v>44454.6361111111</v>
      </c>
      <c r="I32" s="24" t="n">
        <v>122.7</v>
      </c>
      <c r="J32" s="24" t="n">
        <v>661.5</v>
      </c>
      <c r="K32" s="24" t="n">
        <v>538.8</v>
      </c>
      <c r="L32" s="24" t="n">
        <v>-26939</v>
      </c>
      <c r="M32" s="24" t="n">
        <v>-0.9</v>
      </c>
      <c r="N32" s="24" t="n">
        <v>50</v>
      </c>
      <c r="O32" s="5" t="str">
        <f aca="false">IF(ABS((J32-I32)-K32)&lt;=0.051,"OK","MISMATCH")</f>
        <v>OK</v>
      </c>
      <c r="P32" s="5" t="str">
        <f aca="false">IF(ABS(IF(C32="Buy",1,-1)*(J32-I32)*N32-L32)&lt;=1.01,"OK","MISMATCH")</f>
        <v>OK</v>
      </c>
    </row>
    <row r="33" customFormat="false" ht="15" hidden="false" customHeight="false" outlineLevel="0" collapsed="false">
      <c r="A33" s="5" t="n">
        <v>8</v>
      </c>
      <c r="B33" s="5" t="n">
        <v>80</v>
      </c>
      <c r="C33" s="5" t="s">
        <v>141</v>
      </c>
      <c r="D33" s="5" t="s">
        <v>144</v>
      </c>
      <c r="E33" s="5" t="n">
        <v>17100</v>
      </c>
      <c r="F33" s="27" t="n">
        <v>44469</v>
      </c>
      <c r="G33" s="28" t="n">
        <v>44424.4694444445</v>
      </c>
      <c r="H33" s="28" t="n">
        <v>44454.6361111111</v>
      </c>
      <c r="I33" s="24" t="n">
        <v>70</v>
      </c>
      <c r="J33" s="24" t="n">
        <v>475</v>
      </c>
      <c r="K33" s="24" t="n">
        <v>405</v>
      </c>
      <c r="L33" s="24" t="n">
        <v>20250</v>
      </c>
      <c r="M33" s="24" t="n">
        <v>0.83</v>
      </c>
      <c r="N33" s="24" t="n">
        <v>50</v>
      </c>
      <c r="O33" s="5" t="str">
        <f aca="false">IF(ABS((J33-I33)-K33)&lt;=0.051,"OK","MISMATCH")</f>
        <v>OK</v>
      </c>
      <c r="P33" s="5" t="str">
        <f aca="false">IF(ABS(IF(C33="Buy",1,-1)*(J33-I33)*N33-L33)&lt;=1.01,"OK","MISMATCH")</f>
        <v>OK</v>
      </c>
    </row>
    <row r="34" customFormat="false" ht="15" hidden="false" customHeight="false" outlineLevel="0" collapsed="false">
      <c r="A34" s="5" t="n">
        <v>9</v>
      </c>
      <c r="B34" s="5" t="n">
        <v>85</v>
      </c>
      <c r="C34" s="5" t="s">
        <v>143</v>
      </c>
      <c r="D34" s="5" t="s">
        <v>142</v>
      </c>
      <c r="E34" s="5" t="n">
        <v>16950</v>
      </c>
      <c r="F34" s="27" t="n">
        <v>44497</v>
      </c>
      <c r="G34" s="28" t="n">
        <v>44452.4694444445</v>
      </c>
      <c r="H34" s="28" t="n">
        <v>44482.6361111111</v>
      </c>
      <c r="I34" s="24" t="n">
        <v>160.4</v>
      </c>
      <c r="J34" s="24" t="n">
        <v>18.4</v>
      </c>
      <c r="K34" s="24" t="n">
        <v>-142</v>
      </c>
      <c r="L34" s="24" t="n">
        <v>7100</v>
      </c>
      <c r="M34" s="24" t="n">
        <v>0.05</v>
      </c>
      <c r="N34" s="24" t="n">
        <v>50</v>
      </c>
      <c r="O34" s="5" t="str">
        <f aca="false">IF(ABS((J34-I34)-K34)&lt;=0.051,"OK","MISMATCH")</f>
        <v>OK</v>
      </c>
      <c r="P34" s="5" t="str">
        <f aca="false">IF(ABS(IF(C34="Buy",1,-1)*(J34-I34)*N34-L34)&lt;=1.01,"OK","MISMATCH")</f>
        <v>OK</v>
      </c>
    </row>
    <row r="35" customFormat="false" ht="15" hidden="false" customHeight="false" outlineLevel="0" collapsed="false">
      <c r="A35" s="5" t="n">
        <v>9</v>
      </c>
      <c r="B35" s="5" t="n">
        <v>86</v>
      </c>
      <c r="C35" s="5" t="s">
        <v>141</v>
      </c>
      <c r="D35" s="5" t="s">
        <v>142</v>
      </c>
      <c r="E35" s="5" t="n">
        <v>16750</v>
      </c>
      <c r="F35" s="27" t="n">
        <v>44497</v>
      </c>
      <c r="G35" s="28" t="n">
        <v>44452.4694444445</v>
      </c>
      <c r="H35" s="28" t="n">
        <v>44482.6361111111</v>
      </c>
      <c r="I35" s="24" t="n">
        <v>117.1</v>
      </c>
      <c r="J35" s="24" t="n">
        <v>15.8</v>
      </c>
      <c r="K35" s="24" t="n">
        <v>-101.3</v>
      </c>
      <c r="L35" s="24" t="n">
        <v>-5065</v>
      </c>
      <c r="M35" s="24" t="n">
        <v>-0.04</v>
      </c>
      <c r="N35" s="24" t="n">
        <v>50</v>
      </c>
      <c r="O35" s="5" t="str">
        <f aca="false">IF(ABS((J35-I35)-K35)&lt;=0.051,"OK","MISMATCH")</f>
        <v>OK</v>
      </c>
      <c r="P35" s="5" t="str">
        <f aca="false">IF(ABS(IF(C35="Buy",1,-1)*(J35-I35)*N35-L35)&lt;=1.01,"OK","MISMATCH")</f>
        <v>OK</v>
      </c>
    </row>
    <row r="36" customFormat="false" ht="15" hidden="false" customHeight="false" outlineLevel="0" collapsed="false">
      <c r="A36" s="5" t="n">
        <v>9</v>
      </c>
      <c r="B36" s="5" t="n">
        <v>87</v>
      </c>
      <c r="C36" s="5" t="s">
        <v>143</v>
      </c>
      <c r="D36" s="5" t="s">
        <v>144</v>
      </c>
      <c r="E36" s="5" t="n">
        <v>17750</v>
      </c>
      <c r="F36" s="27" t="n">
        <v>44497</v>
      </c>
      <c r="G36" s="28" t="n">
        <v>44452.4694444445</v>
      </c>
      <c r="H36" s="28" t="n">
        <v>44482.6361111111</v>
      </c>
      <c r="I36" s="24" t="n">
        <v>136.9</v>
      </c>
      <c r="J36" s="24" t="n">
        <v>502.4</v>
      </c>
      <c r="K36" s="24" t="n">
        <v>365.5</v>
      </c>
      <c r="L36" s="24" t="n">
        <v>-18275</v>
      </c>
      <c r="M36" s="24" t="n">
        <v>-0.77</v>
      </c>
      <c r="N36" s="24" t="n">
        <v>50</v>
      </c>
      <c r="O36" s="5" t="str">
        <f aca="false">IF(ABS((J36-I36)-K36)&lt;=0.051,"OK","MISMATCH")</f>
        <v>OK</v>
      </c>
      <c r="P36" s="5" t="str">
        <f aca="false">IF(ABS(IF(C36="Buy",1,-1)*(J36-I36)*N36-L36)&lt;=1.01,"OK","MISMATCH")</f>
        <v>OK</v>
      </c>
    </row>
    <row r="37" customFormat="false" ht="15" hidden="false" customHeight="false" outlineLevel="0" collapsed="false">
      <c r="A37" s="5" t="n">
        <v>9</v>
      </c>
      <c r="B37" s="5" t="n">
        <v>88</v>
      </c>
      <c r="C37" s="5" t="s">
        <v>141</v>
      </c>
      <c r="D37" s="5" t="s">
        <v>144</v>
      </c>
      <c r="E37" s="5" t="n">
        <v>17950</v>
      </c>
      <c r="F37" s="27" t="n">
        <v>44497</v>
      </c>
      <c r="G37" s="28" t="n">
        <v>44452.4694444445</v>
      </c>
      <c r="H37" s="28" t="n">
        <v>44482.6361111111</v>
      </c>
      <c r="I37" s="24" t="n">
        <v>86</v>
      </c>
      <c r="J37" s="24" t="n">
        <v>342.4</v>
      </c>
      <c r="K37" s="24" t="n">
        <v>256.4</v>
      </c>
      <c r="L37" s="24" t="n">
        <v>12819</v>
      </c>
      <c r="M37" s="24" t="n">
        <v>0.66</v>
      </c>
      <c r="N37" s="24" t="n">
        <v>50</v>
      </c>
      <c r="O37" s="5" t="str">
        <f aca="false">IF(ABS((J37-I37)-K37)&lt;=0.051,"OK","MISMATCH")</f>
        <v>OK</v>
      </c>
      <c r="P37" s="5" t="str">
        <f aca="false">IF(ABS(IF(C37="Buy",1,-1)*(J37-I37)*N37-L37)&lt;=1.01,"OK","MISMATCH")</f>
        <v>OK</v>
      </c>
    </row>
    <row r="38" customFormat="false" ht="15" hidden="false" customHeight="false" outlineLevel="0" collapsed="false">
      <c r="A38" s="5" t="n">
        <v>10</v>
      </c>
      <c r="B38" s="5" t="n">
        <v>93</v>
      </c>
      <c r="C38" s="5" t="s">
        <v>141</v>
      </c>
      <c r="D38" s="5" t="s">
        <v>142</v>
      </c>
      <c r="E38" s="5" t="n">
        <v>17350</v>
      </c>
      <c r="F38" s="27" t="n">
        <v>44525</v>
      </c>
      <c r="G38" s="28" t="n">
        <v>44480.4694444445</v>
      </c>
      <c r="H38" s="28" t="n">
        <v>44509.6361111111</v>
      </c>
      <c r="I38" s="24" t="n">
        <v>153.6</v>
      </c>
      <c r="J38" s="24" t="n">
        <v>34.2</v>
      </c>
      <c r="K38" s="24" t="n">
        <v>-119.4</v>
      </c>
      <c r="L38" s="24" t="n">
        <v>-5970</v>
      </c>
      <c r="M38" s="24" t="n">
        <v>-0.11</v>
      </c>
      <c r="N38" s="24" t="n">
        <v>50</v>
      </c>
      <c r="O38" s="5" t="str">
        <f aca="false">IF(ABS((J38-I38)-K38)&lt;=0.051,"OK","MISMATCH")</f>
        <v>OK</v>
      </c>
      <c r="P38" s="5" t="str">
        <f aca="false">IF(ABS(IF(C38="Buy",1,-1)*(J38-I38)*N38-L38)&lt;=1.01,"OK","MISMATCH")</f>
        <v>OK</v>
      </c>
    </row>
    <row r="39" customFormat="false" ht="15" hidden="false" customHeight="false" outlineLevel="0" collapsed="false">
      <c r="A39" s="5" t="n">
        <v>10</v>
      </c>
      <c r="B39" s="5" t="n">
        <v>94</v>
      </c>
      <c r="C39" s="5" t="s">
        <v>143</v>
      </c>
      <c r="D39" s="5" t="s">
        <v>144</v>
      </c>
      <c r="E39" s="5" t="n">
        <v>18500</v>
      </c>
      <c r="F39" s="27" t="n">
        <v>44525</v>
      </c>
      <c r="G39" s="28" t="n">
        <v>44480.4694444445</v>
      </c>
      <c r="H39" s="28" t="n">
        <v>44509.6361111111</v>
      </c>
      <c r="I39" s="24" t="n">
        <v>189.9</v>
      </c>
      <c r="J39" s="24" t="n">
        <v>66.5</v>
      </c>
      <c r="K39" s="24" t="n">
        <v>-123.4</v>
      </c>
      <c r="L39" s="24" t="n">
        <v>6170</v>
      </c>
      <c r="M39" s="24" t="n">
        <v>-0.22</v>
      </c>
      <c r="N39" s="24" t="n">
        <v>50</v>
      </c>
      <c r="O39" s="5" t="str">
        <f aca="false">IF(ABS((J39-I39)-K39)&lt;=0.051,"OK","MISMATCH")</f>
        <v>OK</v>
      </c>
      <c r="P39" s="5" t="str">
        <f aca="false">IF(ABS(IF(C39="Buy",1,-1)*(J39-I39)*N39-L39)&lt;=1.01,"OK","MISMATCH")</f>
        <v>OK</v>
      </c>
    </row>
    <row r="40" customFormat="false" ht="15" hidden="false" customHeight="false" outlineLevel="0" collapsed="false">
      <c r="A40" s="5" t="n">
        <v>10</v>
      </c>
      <c r="B40" s="5" t="n">
        <v>95</v>
      </c>
      <c r="C40" s="5" t="s">
        <v>141</v>
      </c>
      <c r="D40" s="5" t="s">
        <v>144</v>
      </c>
      <c r="E40" s="5" t="n">
        <v>18700</v>
      </c>
      <c r="F40" s="27" t="n">
        <v>44525</v>
      </c>
      <c r="G40" s="28" t="n">
        <v>44480.4694444445</v>
      </c>
      <c r="H40" s="28" t="n">
        <v>44509.6361111111</v>
      </c>
      <c r="I40" s="24" t="n">
        <v>131</v>
      </c>
      <c r="J40" s="24" t="n">
        <v>33.6</v>
      </c>
      <c r="K40" s="24" t="n">
        <v>-97.4</v>
      </c>
      <c r="L40" s="24" t="n">
        <v>-4870</v>
      </c>
      <c r="M40" s="24" t="n">
        <v>0.13</v>
      </c>
      <c r="N40" s="24" t="n">
        <v>50</v>
      </c>
      <c r="O40" s="5" t="str">
        <f aca="false">IF(ABS((J40-I40)-K40)&lt;=0.051,"OK","MISMATCH")</f>
        <v>OK</v>
      </c>
      <c r="P40" s="5" t="str">
        <f aca="false">IF(ABS(IF(C40="Buy",1,-1)*(J40-I40)*N40-L40)&lt;=1.01,"OK","MISMATCH")</f>
        <v>OK</v>
      </c>
    </row>
    <row r="41" customFormat="false" ht="15" hidden="false" customHeight="false" outlineLevel="0" collapsed="false">
      <c r="A41" s="5" t="n">
        <v>10</v>
      </c>
      <c r="B41" s="5" t="n">
        <v>96</v>
      </c>
      <c r="C41" s="5" t="s">
        <v>143</v>
      </c>
      <c r="D41" s="5" t="s">
        <v>142</v>
      </c>
      <c r="E41" s="5" t="n">
        <v>17550</v>
      </c>
      <c r="F41" s="27" t="n">
        <v>44525</v>
      </c>
      <c r="G41" s="28" t="n">
        <v>44480.4694444445</v>
      </c>
      <c r="H41" s="28" t="n">
        <v>44509.6361111111</v>
      </c>
      <c r="I41" s="24" t="n">
        <v>211.8</v>
      </c>
      <c r="J41" s="24" t="n">
        <v>58.2</v>
      </c>
      <c r="K41" s="24" t="n">
        <v>-153.6</v>
      </c>
      <c r="L41" s="24" t="n">
        <v>7680</v>
      </c>
      <c r="M41" s="24" t="n">
        <v>0.18</v>
      </c>
      <c r="N41" s="24" t="n">
        <v>50</v>
      </c>
      <c r="O41" s="5" t="str">
        <f aca="false">IF(ABS((J41-I41)-K41)&lt;=0.051,"OK","MISMATCH")</f>
        <v>OK</v>
      </c>
      <c r="P41" s="5" t="str">
        <f aca="false">IF(ABS(IF(C41="Buy",1,-1)*(J41-I41)*N41-L41)&lt;=1.01,"OK","MISMATCH")</f>
        <v>OK</v>
      </c>
    </row>
    <row r="42" customFormat="false" ht="15" hidden="false" customHeight="false" outlineLevel="0" collapsed="false">
      <c r="A42" s="5" t="n">
        <v>11</v>
      </c>
      <c r="B42" s="5" t="n">
        <v>101</v>
      </c>
      <c r="C42" s="5" t="s">
        <v>141</v>
      </c>
      <c r="D42" s="5" t="s">
        <v>142</v>
      </c>
      <c r="E42" s="5" t="n">
        <v>17550</v>
      </c>
      <c r="F42" s="27" t="n">
        <v>44560</v>
      </c>
      <c r="G42" s="28" t="n">
        <v>44515.4694444445</v>
      </c>
      <c r="H42" s="28" t="n">
        <v>44545.6361111111</v>
      </c>
      <c r="I42" s="24" t="n">
        <v>121.5</v>
      </c>
      <c r="J42" s="24" t="n">
        <v>403.6</v>
      </c>
      <c r="K42" s="24" t="n">
        <v>282.1</v>
      </c>
      <c r="L42" s="24" t="n">
        <v>14105</v>
      </c>
      <c r="M42" s="24" t="n">
        <v>-0.7</v>
      </c>
      <c r="N42" s="24" t="n">
        <v>50</v>
      </c>
      <c r="O42" s="5" t="str">
        <f aca="false">IF(ABS((J42-I42)-K42)&lt;=0.051,"OK","MISMATCH")</f>
        <v>OK</v>
      </c>
      <c r="P42" s="5" t="str">
        <f aca="false">IF(ABS(IF(C42="Buy",1,-1)*(J42-I42)*N42-L42)&lt;=1.01,"OK","MISMATCH")</f>
        <v>OK</v>
      </c>
    </row>
    <row r="43" customFormat="false" ht="15" hidden="false" customHeight="false" outlineLevel="0" collapsed="false">
      <c r="A43" s="5" t="n">
        <v>11</v>
      </c>
      <c r="B43" s="5" t="n">
        <v>102</v>
      </c>
      <c r="C43" s="5" t="s">
        <v>143</v>
      </c>
      <c r="D43" s="5" t="s">
        <v>144</v>
      </c>
      <c r="E43" s="5" t="n">
        <v>18700</v>
      </c>
      <c r="F43" s="27" t="n">
        <v>44560</v>
      </c>
      <c r="G43" s="28" t="n">
        <v>44515.4694444445</v>
      </c>
      <c r="H43" s="28" t="n">
        <v>44545.6361111111</v>
      </c>
      <c r="I43" s="24" t="n">
        <v>147.1</v>
      </c>
      <c r="J43" s="24" t="n">
        <v>4.8</v>
      </c>
      <c r="K43" s="24" t="n">
        <v>-142.3</v>
      </c>
      <c r="L43" s="24" t="n">
        <v>7115</v>
      </c>
      <c r="M43" s="24" t="n">
        <v>-0.02</v>
      </c>
      <c r="N43" s="24" t="n">
        <v>50</v>
      </c>
      <c r="O43" s="5" t="str">
        <f aca="false">IF(ABS((J43-I43)-K43)&lt;=0.051,"OK","MISMATCH")</f>
        <v>OK</v>
      </c>
      <c r="P43" s="5" t="str">
        <f aca="false">IF(ABS(IF(C43="Buy",1,-1)*(J43-I43)*N43-L43)&lt;=1.01,"OK","MISMATCH")</f>
        <v>OK</v>
      </c>
    </row>
    <row r="44" customFormat="false" ht="15" hidden="false" customHeight="false" outlineLevel="0" collapsed="false">
      <c r="A44" s="5" t="n">
        <v>11</v>
      </c>
      <c r="B44" s="5" t="n">
        <v>103</v>
      </c>
      <c r="C44" s="5" t="s">
        <v>141</v>
      </c>
      <c r="D44" s="5" t="s">
        <v>144</v>
      </c>
      <c r="E44" s="5" t="n">
        <v>18900</v>
      </c>
      <c r="F44" s="27" t="n">
        <v>44560</v>
      </c>
      <c r="G44" s="28" t="n">
        <v>44515.4694444445</v>
      </c>
      <c r="H44" s="28" t="n">
        <v>44545.6361111111</v>
      </c>
      <c r="I44" s="24" t="n">
        <v>94.7</v>
      </c>
      <c r="J44" s="24" t="n">
        <v>4.1</v>
      </c>
      <c r="K44" s="24" t="n">
        <v>-90.6</v>
      </c>
      <c r="L44" s="24" t="n">
        <v>-4530</v>
      </c>
      <c r="M44" s="24" t="n">
        <v>0.02</v>
      </c>
      <c r="N44" s="24" t="n">
        <v>50</v>
      </c>
      <c r="O44" s="5" t="str">
        <f aca="false">IF(ABS((J44-I44)-K44)&lt;=0.051,"OK","MISMATCH")</f>
        <v>OK</v>
      </c>
      <c r="P44" s="5" t="str">
        <f aca="false">IF(ABS(IF(C44="Buy",1,-1)*(J44-I44)*N44-L44)&lt;=1.01,"OK","MISMATCH")</f>
        <v>OK</v>
      </c>
    </row>
    <row r="45" customFormat="false" ht="15" hidden="false" customHeight="false" outlineLevel="0" collapsed="false">
      <c r="A45" s="5" t="n">
        <v>11</v>
      </c>
      <c r="B45" s="5" t="n">
        <v>104</v>
      </c>
      <c r="C45" s="5" t="s">
        <v>143</v>
      </c>
      <c r="D45" s="5" t="s">
        <v>142</v>
      </c>
      <c r="E45" s="5" t="n">
        <v>17750</v>
      </c>
      <c r="F45" s="27" t="n">
        <v>44560</v>
      </c>
      <c r="G45" s="28" t="n">
        <v>44515.4694444445</v>
      </c>
      <c r="H45" s="28" t="n">
        <v>44545.6361111111</v>
      </c>
      <c r="I45" s="24" t="n">
        <v>167.3</v>
      </c>
      <c r="J45" s="24" t="n">
        <v>550</v>
      </c>
      <c r="K45" s="24" t="n">
        <v>382.7</v>
      </c>
      <c r="L45" s="24" t="n">
        <v>-19135</v>
      </c>
      <c r="M45" s="24" t="n">
        <v>0.81</v>
      </c>
      <c r="N45" s="24" t="n">
        <v>50</v>
      </c>
      <c r="O45" s="5" t="str">
        <f aca="false">IF(ABS((J45-I45)-K45)&lt;=0.051,"OK","MISMATCH")</f>
        <v>OK</v>
      </c>
      <c r="P45" s="5" t="str">
        <f aca="false">IF(ABS(IF(C45="Buy",1,-1)*(J45-I45)*N45-L45)&lt;=1.01,"OK","MISMATCH")</f>
        <v>OK</v>
      </c>
    </row>
    <row r="46" customFormat="false" ht="15" hidden="false" customHeight="false" outlineLevel="0" collapsed="false">
      <c r="A46" s="5" t="n">
        <v>12</v>
      </c>
      <c r="B46" s="5" t="n">
        <v>109</v>
      </c>
      <c r="C46" s="5" t="s">
        <v>143</v>
      </c>
      <c r="D46" s="5" t="s">
        <v>142</v>
      </c>
      <c r="E46" s="5" t="n">
        <v>17200</v>
      </c>
      <c r="F46" s="27" t="n">
        <v>44588</v>
      </c>
      <c r="G46" s="28" t="n">
        <v>44543.4694444445</v>
      </c>
      <c r="H46" s="28" t="n">
        <v>44573.6361111111</v>
      </c>
      <c r="I46" s="24" t="n">
        <v>185.5</v>
      </c>
      <c r="J46" s="24" t="n">
        <v>20.9</v>
      </c>
      <c r="K46" s="24" t="n">
        <v>-164.6</v>
      </c>
      <c r="L46" s="24" t="n">
        <v>8230</v>
      </c>
      <c r="M46" s="24" t="n">
        <v>0.07</v>
      </c>
      <c r="N46" s="24" t="n">
        <v>50</v>
      </c>
      <c r="O46" s="5" t="str">
        <f aca="false">IF(ABS((J46-I46)-K46)&lt;=0.051,"OK","MISMATCH")</f>
        <v>OK</v>
      </c>
      <c r="P46" s="5" t="str">
        <f aca="false">IF(ABS(IF(C46="Buy",1,-1)*(J46-I46)*N46-L46)&lt;=1.01,"OK","MISMATCH")</f>
        <v>OK</v>
      </c>
    </row>
    <row r="47" customFormat="false" ht="15" hidden="false" customHeight="false" outlineLevel="0" collapsed="false">
      <c r="A47" s="5" t="n">
        <v>12</v>
      </c>
      <c r="B47" s="5" t="n">
        <v>110</v>
      </c>
      <c r="C47" s="5" t="s">
        <v>141</v>
      </c>
      <c r="D47" s="5" t="s">
        <v>142</v>
      </c>
      <c r="E47" s="5" t="n">
        <v>17000</v>
      </c>
      <c r="F47" s="27" t="n">
        <v>44588</v>
      </c>
      <c r="G47" s="28" t="n">
        <v>44543.4694444445</v>
      </c>
      <c r="H47" s="28" t="n">
        <v>44573.6361111111</v>
      </c>
      <c r="I47" s="24" t="n">
        <v>140.1</v>
      </c>
      <c r="J47" s="24" t="n">
        <v>14.9</v>
      </c>
      <c r="K47" s="24" t="n">
        <v>-125.2</v>
      </c>
      <c r="L47" s="24" t="n">
        <v>-6260</v>
      </c>
      <c r="M47" s="24" t="n">
        <v>-0.05</v>
      </c>
      <c r="N47" s="24" t="n">
        <v>50</v>
      </c>
      <c r="O47" s="5" t="str">
        <f aca="false">IF(ABS((J47-I47)-K47)&lt;=0.051,"OK","MISMATCH")</f>
        <v>OK</v>
      </c>
      <c r="P47" s="5" t="str">
        <f aca="false">IF(ABS(IF(C47="Buy",1,-1)*(J47-I47)*N47-L47)&lt;=1.01,"OK","MISMATCH")</f>
        <v>OK</v>
      </c>
    </row>
    <row r="48" customFormat="false" ht="15" hidden="false" customHeight="false" outlineLevel="0" collapsed="false">
      <c r="A48" s="5" t="n">
        <v>12</v>
      </c>
      <c r="B48" s="5" t="n">
        <v>111</v>
      </c>
      <c r="C48" s="5" t="s">
        <v>143</v>
      </c>
      <c r="D48" s="5" t="s">
        <v>144</v>
      </c>
      <c r="E48" s="5" t="n">
        <v>18100</v>
      </c>
      <c r="F48" s="27" t="n">
        <v>44588</v>
      </c>
      <c r="G48" s="28" t="n">
        <v>44543.4694444445</v>
      </c>
      <c r="H48" s="28" t="n">
        <v>44573.6361111111</v>
      </c>
      <c r="I48" s="24" t="n">
        <v>159.8</v>
      </c>
      <c r="J48" s="24" t="n">
        <v>297.1</v>
      </c>
      <c r="K48" s="24" t="n">
        <v>137.3</v>
      </c>
      <c r="L48" s="24" t="n">
        <v>-6865</v>
      </c>
      <c r="M48" s="24" t="n">
        <v>-0.61</v>
      </c>
      <c r="N48" s="24" t="n">
        <v>50</v>
      </c>
      <c r="O48" s="5" t="str">
        <f aca="false">IF(ABS((J48-I48)-K48)&lt;=0.051,"OK","MISMATCH")</f>
        <v>OK</v>
      </c>
      <c r="P48" s="5" t="str">
        <f aca="false">IF(ABS(IF(C48="Buy",1,-1)*(J48-I48)*N48-L48)&lt;=1.01,"OK","MISMATCH")</f>
        <v>OK</v>
      </c>
    </row>
    <row r="49" customFormat="false" ht="15" hidden="false" customHeight="false" outlineLevel="0" collapsed="false">
      <c r="A49" s="5" t="n">
        <v>12</v>
      </c>
      <c r="B49" s="5" t="n">
        <v>112</v>
      </c>
      <c r="C49" s="5" t="s">
        <v>141</v>
      </c>
      <c r="D49" s="5" t="s">
        <v>144</v>
      </c>
      <c r="E49" s="5" t="n">
        <v>18300</v>
      </c>
      <c r="F49" s="27" t="n">
        <v>44588</v>
      </c>
      <c r="G49" s="28" t="n">
        <v>44543.4694444445</v>
      </c>
      <c r="H49" s="28" t="n">
        <v>44573.6361111111</v>
      </c>
      <c r="I49" s="24" t="n">
        <v>103.3</v>
      </c>
      <c r="J49" s="24" t="n">
        <v>182</v>
      </c>
      <c r="K49" s="24" t="n">
        <v>78.7</v>
      </c>
      <c r="L49" s="24" t="n">
        <v>3935</v>
      </c>
      <c r="M49" s="24" t="n">
        <v>0.46</v>
      </c>
      <c r="N49" s="24" t="n">
        <v>50</v>
      </c>
      <c r="O49" s="5" t="str">
        <f aca="false">IF(ABS((J49-I49)-K49)&lt;=0.051,"OK","MISMATCH")</f>
        <v>OK</v>
      </c>
      <c r="P49" s="5" t="str">
        <f aca="false">IF(ABS(IF(C49="Buy",1,-1)*(J49-I49)*N49-L49)&lt;=1.01,"OK","MISMATCH")</f>
        <v>OK</v>
      </c>
    </row>
    <row r="50" customFormat="false" ht="15" hidden="false" customHeight="false" outlineLevel="0" collapsed="false">
      <c r="A50" s="5" t="n">
        <v>13</v>
      </c>
      <c r="B50" s="5" t="n">
        <v>117</v>
      </c>
      <c r="C50" s="5" t="s">
        <v>141</v>
      </c>
      <c r="D50" s="5" t="s">
        <v>142</v>
      </c>
      <c r="E50" s="5" t="n">
        <v>17250</v>
      </c>
      <c r="F50" s="27" t="n">
        <v>44616</v>
      </c>
      <c r="G50" s="28" t="n">
        <v>44571.4694444445</v>
      </c>
      <c r="H50" s="28" t="n">
        <v>44601.6361111111</v>
      </c>
      <c r="I50" s="24" t="n">
        <v>186.7</v>
      </c>
      <c r="J50" s="24" t="n">
        <v>134.8</v>
      </c>
      <c r="K50" s="24" t="n">
        <v>-51.9</v>
      </c>
      <c r="L50" s="24" t="n">
        <v>-2595</v>
      </c>
      <c r="M50" s="24" t="n">
        <v>-0.34</v>
      </c>
      <c r="N50" s="24" t="n">
        <v>50</v>
      </c>
      <c r="O50" s="5" t="str">
        <f aca="false">IF(ABS((J50-I50)-K50)&lt;=0.051,"OK","MISMATCH")</f>
        <v>OK</v>
      </c>
      <c r="P50" s="5" t="str">
        <f aca="false">IF(ABS(IF(C50="Buy",1,-1)*(J50-I50)*N50-L50)&lt;=1.01,"OK","MISMATCH")</f>
        <v>OK</v>
      </c>
    </row>
    <row r="51" customFormat="false" ht="15" hidden="false" customHeight="false" outlineLevel="0" collapsed="false">
      <c r="A51" s="5" t="n">
        <v>13</v>
      </c>
      <c r="B51" s="5" t="n">
        <v>118</v>
      </c>
      <c r="C51" s="5" t="s">
        <v>143</v>
      </c>
      <c r="D51" s="5" t="s">
        <v>144</v>
      </c>
      <c r="E51" s="5" t="n">
        <v>18650</v>
      </c>
      <c r="F51" s="27" t="n">
        <v>44616</v>
      </c>
      <c r="G51" s="28" t="n">
        <v>44571.4694444445</v>
      </c>
      <c r="H51" s="28" t="n">
        <v>44601.6361111111</v>
      </c>
      <c r="I51" s="24" t="n">
        <v>197.3</v>
      </c>
      <c r="J51" s="24" t="n">
        <v>8.1</v>
      </c>
      <c r="K51" s="24" t="n">
        <v>-189.2</v>
      </c>
      <c r="L51" s="24" t="n">
        <v>9460</v>
      </c>
      <c r="M51" s="24" t="n">
        <v>-0.03</v>
      </c>
      <c r="N51" s="24" t="n">
        <v>50</v>
      </c>
      <c r="O51" s="5" t="str">
        <f aca="false">IF(ABS((J51-I51)-K51)&lt;=0.051,"OK","MISMATCH")</f>
        <v>OK</v>
      </c>
      <c r="P51" s="5" t="str">
        <f aca="false">IF(ABS(IF(C51="Buy",1,-1)*(J51-I51)*N51-L51)&lt;=1.01,"OK","MISMATCH")</f>
        <v>OK</v>
      </c>
    </row>
    <row r="52" customFormat="false" ht="15" hidden="false" customHeight="false" outlineLevel="0" collapsed="false">
      <c r="A52" s="5" t="n">
        <v>13</v>
      </c>
      <c r="B52" s="5" t="n">
        <v>119</v>
      </c>
      <c r="C52" s="5" t="s">
        <v>141</v>
      </c>
      <c r="D52" s="5" t="s">
        <v>144</v>
      </c>
      <c r="E52" s="5" t="n">
        <v>18850</v>
      </c>
      <c r="F52" s="27" t="n">
        <v>44616</v>
      </c>
      <c r="G52" s="28" t="n">
        <v>44571.4694444445</v>
      </c>
      <c r="H52" s="28" t="n">
        <v>44601.6361111111</v>
      </c>
      <c r="I52" s="24" t="n">
        <v>144.2</v>
      </c>
      <c r="J52" s="24" t="n">
        <v>5.8</v>
      </c>
      <c r="K52" s="24" t="n">
        <v>-138.4</v>
      </c>
      <c r="L52" s="24" t="n">
        <v>-6920</v>
      </c>
      <c r="M52" s="24" t="n">
        <v>0.02</v>
      </c>
      <c r="N52" s="24" t="n">
        <v>50</v>
      </c>
      <c r="O52" s="5" t="str">
        <f aca="false">IF(ABS((J52-I52)-K52)&lt;=0.051,"OK","MISMATCH")</f>
        <v>OK</v>
      </c>
      <c r="P52" s="5" t="str">
        <f aca="false">IF(ABS(IF(C52="Buy",1,-1)*(J52-I52)*N52-L52)&lt;=1.01,"OK","MISMATCH")</f>
        <v>OK</v>
      </c>
    </row>
    <row r="53" customFormat="false" ht="15" hidden="false" customHeight="false" outlineLevel="0" collapsed="false">
      <c r="A53" s="5" t="n">
        <v>13</v>
      </c>
      <c r="B53" s="5" t="n">
        <v>120</v>
      </c>
      <c r="C53" s="5" t="s">
        <v>143</v>
      </c>
      <c r="D53" s="5" t="s">
        <v>142</v>
      </c>
      <c r="E53" s="5" t="n">
        <v>17450</v>
      </c>
      <c r="F53" s="27" t="n">
        <v>44616</v>
      </c>
      <c r="G53" s="28" t="n">
        <v>44571.4694444445</v>
      </c>
      <c r="H53" s="28" t="n">
        <v>44601.6361111111</v>
      </c>
      <c r="I53" s="24" t="n">
        <v>236.4</v>
      </c>
      <c r="J53" s="24" t="n">
        <v>214.6</v>
      </c>
      <c r="K53" s="24" t="n">
        <v>-21.8</v>
      </c>
      <c r="L53" s="24" t="n">
        <v>1090</v>
      </c>
      <c r="M53" s="24" t="n">
        <v>0.47</v>
      </c>
      <c r="N53" s="24" t="n">
        <v>50</v>
      </c>
      <c r="O53" s="5" t="str">
        <f aca="false">IF(ABS((J53-I53)-K53)&lt;=0.051,"OK","MISMATCH")</f>
        <v>OK</v>
      </c>
      <c r="P53" s="5" t="str">
        <f aca="false">IF(ABS(IF(C53="Buy",1,-1)*(J53-I53)*N53-L53)&lt;=1.01,"OK","MISMATCH")</f>
        <v>OK</v>
      </c>
    </row>
    <row r="54" customFormat="false" ht="15" hidden="false" customHeight="false" outlineLevel="0" collapsed="false">
      <c r="A54" s="5" t="n">
        <v>14</v>
      </c>
      <c r="B54" s="5" t="n">
        <v>125</v>
      </c>
      <c r="C54" s="5" t="s">
        <v>143</v>
      </c>
      <c r="D54" s="5" t="s">
        <v>142</v>
      </c>
      <c r="E54" s="5" t="n">
        <v>16500</v>
      </c>
      <c r="F54" s="27" t="n">
        <v>44651</v>
      </c>
      <c r="G54" s="28" t="n">
        <v>44606.4694444445</v>
      </c>
      <c r="H54" s="28" t="n">
        <v>44636.6361111111</v>
      </c>
      <c r="I54" s="24" t="n">
        <v>254.5</v>
      </c>
      <c r="J54" s="24" t="n">
        <v>162.1</v>
      </c>
      <c r="K54" s="24" t="n">
        <v>-92.4</v>
      </c>
      <c r="L54" s="24" t="n">
        <v>4620</v>
      </c>
      <c r="M54" s="24" t="n">
        <v>0.28</v>
      </c>
      <c r="N54" s="24" t="n">
        <v>50</v>
      </c>
      <c r="O54" s="5" t="str">
        <f aca="false">IF(ABS((J54-I54)-K54)&lt;=0.051,"OK","MISMATCH")</f>
        <v>OK</v>
      </c>
      <c r="P54" s="5" t="str">
        <f aca="false">IF(ABS(IF(C54="Buy",1,-1)*(J54-I54)*N54-L54)&lt;=1.01,"OK","MISMATCH")</f>
        <v>OK</v>
      </c>
    </row>
    <row r="55" customFormat="false" ht="15" hidden="false" customHeight="false" outlineLevel="0" collapsed="false">
      <c r="A55" s="5" t="n">
        <v>14</v>
      </c>
      <c r="B55" s="5" t="n">
        <v>126</v>
      </c>
      <c r="C55" s="5" t="s">
        <v>141</v>
      </c>
      <c r="D55" s="5" t="s">
        <v>142</v>
      </c>
      <c r="E55" s="5" t="n">
        <v>16300</v>
      </c>
      <c r="F55" s="27" t="n">
        <v>44651</v>
      </c>
      <c r="G55" s="28" t="n">
        <v>44606.4694444445</v>
      </c>
      <c r="H55" s="28" t="n">
        <v>44636.6361111111</v>
      </c>
      <c r="I55" s="24" t="n">
        <v>199.3</v>
      </c>
      <c r="J55" s="24" t="n">
        <v>119.8</v>
      </c>
      <c r="K55" s="24" t="n">
        <v>-79.5</v>
      </c>
      <c r="L55" s="24" t="n">
        <v>-3975</v>
      </c>
      <c r="M55" s="24" t="n">
        <v>-0.22</v>
      </c>
      <c r="N55" s="24" t="n">
        <v>50</v>
      </c>
      <c r="O55" s="5" t="str">
        <f aca="false">IF(ABS((J55-I55)-K55)&lt;=0.051,"OK","MISMATCH")</f>
        <v>OK</v>
      </c>
      <c r="P55" s="5" t="str">
        <f aca="false">IF(ABS(IF(C55="Buy",1,-1)*(J55-I55)*N55-L55)&lt;=1.01,"OK","MISMATCH")</f>
        <v>OK</v>
      </c>
    </row>
    <row r="56" customFormat="false" ht="15" hidden="false" customHeight="false" outlineLevel="0" collapsed="false">
      <c r="A56" s="5" t="n">
        <v>14</v>
      </c>
      <c r="B56" s="5" t="n">
        <v>127</v>
      </c>
      <c r="C56" s="5" t="s">
        <v>143</v>
      </c>
      <c r="D56" s="5" t="s">
        <v>144</v>
      </c>
      <c r="E56" s="5" t="n">
        <v>17700</v>
      </c>
      <c r="F56" s="27" t="n">
        <v>44651</v>
      </c>
      <c r="G56" s="28" t="n">
        <v>44606.4694444445</v>
      </c>
      <c r="H56" s="28" t="n">
        <v>44636.6361111111</v>
      </c>
      <c r="I56" s="24" t="n">
        <v>203</v>
      </c>
      <c r="J56" s="24" t="n">
        <v>74.3</v>
      </c>
      <c r="K56" s="24" t="n">
        <v>-128.7</v>
      </c>
      <c r="L56" s="24" t="n">
        <v>6434</v>
      </c>
      <c r="M56" s="24" t="n">
        <v>-0.19</v>
      </c>
      <c r="N56" s="24" t="n">
        <v>50</v>
      </c>
      <c r="O56" s="5" t="str">
        <f aca="false">IF(ABS((J56-I56)-K56)&lt;=0.051,"OK","MISMATCH")</f>
        <v>OK</v>
      </c>
      <c r="P56" s="5" t="str">
        <f aca="false">IF(ABS(IF(C56="Buy",1,-1)*(J56-I56)*N56-L56)&lt;=1.01,"OK","MISMATCH")</f>
        <v>OK</v>
      </c>
    </row>
    <row r="57" customFormat="false" ht="15" hidden="false" customHeight="false" outlineLevel="0" collapsed="false">
      <c r="A57" s="5" t="n">
        <v>14</v>
      </c>
      <c r="B57" s="5" t="n">
        <v>128</v>
      </c>
      <c r="C57" s="5" t="s">
        <v>141</v>
      </c>
      <c r="D57" s="5" t="s">
        <v>144</v>
      </c>
      <c r="E57" s="5" t="n">
        <v>17900</v>
      </c>
      <c r="F57" s="27" t="n">
        <v>44651</v>
      </c>
      <c r="G57" s="28" t="n">
        <v>44606.4694444445</v>
      </c>
      <c r="H57" s="28" t="n">
        <v>44636.6361111111</v>
      </c>
      <c r="I57" s="24" t="n">
        <v>149.7</v>
      </c>
      <c r="J57" s="24" t="n">
        <v>41.4</v>
      </c>
      <c r="K57" s="24" t="n">
        <v>-108.3</v>
      </c>
      <c r="L57" s="24" t="n">
        <v>-5415</v>
      </c>
      <c r="M57" s="24" t="n">
        <v>0.12</v>
      </c>
      <c r="N57" s="24" t="n">
        <v>50</v>
      </c>
      <c r="O57" s="5" t="str">
        <f aca="false">IF(ABS((J57-I57)-K57)&lt;=0.051,"OK","MISMATCH")</f>
        <v>OK</v>
      </c>
      <c r="P57" s="5" t="str">
        <f aca="false">IF(ABS(IF(C57="Buy",1,-1)*(J57-I57)*N57-L57)&lt;=1.01,"OK","MISMATCH")</f>
        <v>OK</v>
      </c>
    </row>
    <row r="58" customFormat="false" ht="15" hidden="false" customHeight="false" outlineLevel="0" collapsed="false">
      <c r="A58" s="5" t="n">
        <v>15</v>
      </c>
      <c r="B58" s="5" t="n">
        <v>133</v>
      </c>
      <c r="C58" s="5" t="s">
        <v>143</v>
      </c>
      <c r="D58" s="5" t="s">
        <v>142</v>
      </c>
      <c r="E58" s="5" t="n">
        <v>16000</v>
      </c>
      <c r="F58" s="27" t="n">
        <v>44679</v>
      </c>
      <c r="G58" s="28" t="n">
        <v>44634.4694444445</v>
      </c>
      <c r="H58" s="28" t="n">
        <v>44664.6361111111</v>
      </c>
      <c r="I58" s="24" t="n">
        <v>299.6</v>
      </c>
      <c r="J58" s="24" t="n">
        <v>8.1</v>
      </c>
      <c r="K58" s="24" t="n">
        <v>-291.5</v>
      </c>
      <c r="L58" s="24" t="n">
        <v>14575</v>
      </c>
      <c r="M58" s="24" t="n">
        <v>0.03</v>
      </c>
      <c r="N58" s="24" t="n">
        <v>50</v>
      </c>
      <c r="O58" s="5" t="str">
        <f aca="false">IF(ABS((J58-I58)-K58)&lt;=0.051,"OK","MISMATCH")</f>
        <v>OK</v>
      </c>
      <c r="P58" s="5" t="str">
        <f aca="false">IF(ABS(IF(C58="Buy",1,-1)*(J58-I58)*N58-L58)&lt;=1.01,"OK","MISMATCH")</f>
        <v>OK</v>
      </c>
    </row>
    <row r="59" customFormat="false" ht="15" hidden="false" customHeight="false" outlineLevel="0" collapsed="false">
      <c r="A59" s="5" t="n">
        <v>15</v>
      </c>
      <c r="B59" s="5" t="n">
        <v>134</v>
      </c>
      <c r="C59" s="5" t="s">
        <v>141</v>
      </c>
      <c r="D59" s="5" t="s">
        <v>142</v>
      </c>
      <c r="E59" s="5" t="n">
        <v>15800</v>
      </c>
      <c r="F59" s="27" t="n">
        <v>44679</v>
      </c>
      <c r="G59" s="28" t="n">
        <v>44634.4694444445</v>
      </c>
      <c r="H59" s="28" t="n">
        <v>44664.6361111111</v>
      </c>
      <c r="I59" s="24" t="n">
        <v>259.6</v>
      </c>
      <c r="J59" s="24" t="n">
        <v>6.5</v>
      </c>
      <c r="K59" s="24" t="n">
        <v>-253.1</v>
      </c>
      <c r="L59" s="24" t="n">
        <v>-12655</v>
      </c>
      <c r="M59" s="24" t="n">
        <v>-0.02</v>
      </c>
      <c r="N59" s="24" t="n">
        <v>50</v>
      </c>
      <c r="O59" s="5" t="str">
        <f aca="false">IF(ABS((J59-I59)-K59)&lt;=0.051,"OK","MISMATCH")</f>
        <v>OK</v>
      </c>
      <c r="P59" s="5" t="str">
        <f aca="false">IF(ABS(IF(C59="Buy",1,-1)*(J59-I59)*N59-L59)&lt;=1.01,"OK","MISMATCH")</f>
        <v>OK</v>
      </c>
    </row>
    <row r="60" customFormat="false" ht="15" hidden="false" customHeight="false" outlineLevel="0" collapsed="false">
      <c r="A60" s="5" t="n">
        <v>15</v>
      </c>
      <c r="B60" s="5" t="n">
        <v>135</v>
      </c>
      <c r="C60" s="5" t="s">
        <v>143</v>
      </c>
      <c r="D60" s="5" t="s">
        <v>144</v>
      </c>
      <c r="E60" s="5" t="n">
        <v>17500</v>
      </c>
      <c r="F60" s="27" t="n">
        <v>44679</v>
      </c>
      <c r="G60" s="28" t="n">
        <v>44634.4694444445</v>
      </c>
      <c r="H60" s="28" t="n">
        <v>44664.6361111111</v>
      </c>
      <c r="I60" s="24" t="n">
        <v>228</v>
      </c>
      <c r="J60" s="24" t="n">
        <v>225.8</v>
      </c>
      <c r="K60" s="24" t="n">
        <v>-2.2</v>
      </c>
      <c r="L60" s="24" t="n">
        <v>110</v>
      </c>
      <c r="M60" s="24" t="n">
        <v>-0.51</v>
      </c>
      <c r="N60" s="24" t="n">
        <v>50</v>
      </c>
      <c r="O60" s="5" t="str">
        <f aca="false">IF(ABS((J60-I60)-K60)&lt;=0.051,"OK","MISMATCH")</f>
        <v>OK</v>
      </c>
      <c r="P60" s="5" t="str">
        <f aca="false">IF(ABS(IF(C60="Buy",1,-1)*(J60-I60)*N60-L60)&lt;=1.01,"OK","MISMATCH")</f>
        <v>OK</v>
      </c>
    </row>
    <row r="61" customFormat="false" ht="15" hidden="false" customHeight="false" outlineLevel="0" collapsed="false">
      <c r="A61" s="5" t="n">
        <v>15</v>
      </c>
      <c r="B61" s="5" t="n">
        <v>136</v>
      </c>
      <c r="C61" s="5" t="s">
        <v>141</v>
      </c>
      <c r="D61" s="5" t="s">
        <v>144</v>
      </c>
      <c r="E61" s="5" t="n">
        <v>17700</v>
      </c>
      <c r="F61" s="27" t="n">
        <v>44679</v>
      </c>
      <c r="G61" s="28" t="n">
        <v>44634.4694444445</v>
      </c>
      <c r="H61" s="28" t="n">
        <v>44664.6361111111</v>
      </c>
      <c r="I61" s="24" t="n">
        <v>169.9</v>
      </c>
      <c r="J61" s="24" t="n">
        <v>131.8</v>
      </c>
      <c r="K61" s="24" t="n">
        <v>-38.1</v>
      </c>
      <c r="L61" s="24" t="n">
        <v>-1905</v>
      </c>
      <c r="M61" s="24" t="n">
        <v>0.37</v>
      </c>
      <c r="N61" s="24" t="n">
        <v>50</v>
      </c>
      <c r="O61" s="5" t="str">
        <f aca="false">IF(ABS((J61-I61)-K61)&lt;=0.051,"OK","MISMATCH")</f>
        <v>OK</v>
      </c>
      <c r="P61" s="5" t="str">
        <f aca="false">IF(ABS(IF(C61="Buy",1,-1)*(J61-I61)*N61-L61)&lt;=1.01,"OK","MISMATCH")</f>
        <v>OK</v>
      </c>
    </row>
    <row r="62" customFormat="false" ht="15" hidden="false" customHeight="false" outlineLevel="0" collapsed="false">
      <c r="A62" s="5" t="n">
        <v>16</v>
      </c>
      <c r="B62" s="5" t="n">
        <v>141</v>
      </c>
      <c r="C62" s="5" t="s">
        <v>143</v>
      </c>
      <c r="D62" s="5" t="s">
        <v>142</v>
      </c>
      <c r="E62" s="5" t="n">
        <v>17200</v>
      </c>
      <c r="F62" s="27" t="n">
        <v>44707</v>
      </c>
      <c r="G62" s="28" t="n">
        <v>44662.4694444445</v>
      </c>
      <c r="H62" s="28" t="n">
        <v>44692.6361111111</v>
      </c>
      <c r="I62" s="24" t="n">
        <v>236.7</v>
      </c>
      <c r="J62" s="24" t="n">
        <v>1049.8</v>
      </c>
      <c r="K62" s="24" t="n">
        <v>813.1</v>
      </c>
      <c r="L62" s="24" t="n">
        <v>-40655</v>
      </c>
      <c r="M62" s="24" t="n">
        <v>0.93</v>
      </c>
      <c r="N62" s="24" t="n">
        <v>50</v>
      </c>
      <c r="O62" s="5" t="str">
        <f aca="false">IF(ABS((J62-I62)-K62)&lt;=0.051,"OK","MISMATCH")</f>
        <v>OK</v>
      </c>
      <c r="P62" s="5" t="str">
        <f aca="false">IF(ABS(IF(C62="Buy",1,-1)*(J62-I62)*N62-L62)&lt;=1.01,"OK","MISMATCH")</f>
        <v>OK</v>
      </c>
    </row>
    <row r="63" customFormat="false" ht="15" hidden="false" customHeight="false" outlineLevel="0" collapsed="false">
      <c r="A63" s="5" t="n">
        <v>16</v>
      </c>
      <c r="B63" s="5" t="n">
        <v>142</v>
      </c>
      <c r="C63" s="5" t="s">
        <v>141</v>
      </c>
      <c r="D63" s="5" t="s">
        <v>142</v>
      </c>
      <c r="E63" s="5" t="n">
        <v>17000</v>
      </c>
      <c r="F63" s="27" t="n">
        <v>44707</v>
      </c>
      <c r="G63" s="28" t="n">
        <v>44662.4694444445</v>
      </c>
      <c r="H63" s="28" t="n">
        <v>44692.6361111111</v>
      </c>
      <c r="I63" s="24" t="n">
        <v>187.4</v>
      </c>
      <c r="J63" s="24" t="n">
        <v>862.9</v>
      </c>
      <c r="K63" s="24" t="n">
        <v>675.5</v>
      </c>
      <c r="L63" s="24" t="n">
        <v>33775</v>
      </c>
      <c r="M63" s="24" t="n">
        <v>-0.89</v>
      </c>
      <c r="N63" s="24" t="n">
        <v>50</v>
      </c>
      <c r="O63" s="5" t="str">
        <f aca="false">IF(ABS((J63-I63)-K63)&lt;=0.051,"OK","MISMATCH")</f>
        <v>OK</v>
      </c>
      <c r="P63" s="5" t="str">
        <f aca="false">IF(ABS(IF(C63="Buy",1,-1)*(J63-I63)*N63-L63)&lt;=1.01,"OK","MISMATCH")</f>
        <v>OK</v>
      </c>
    </row>
    <row r="64" customFormat="false" ht="15" hidden="false" customHeight="false" outlineLevel="0" collapsed="false">
      <c r="A64" s="5" t="n">
        <v>16</v>
      </c>
      <c r="B64" s="5" t="n">
        <v>143</v>
      </c>
      <c r="C64" s="5" t="s">
        <v>143</v>
      </c>
      <c r="D64" s="5" t="s">
        <v>144</v>
      </c>
      <c r="E64" s="5" t="n">
        <v>18300</v>
      </c>
      <c r="F64" s="27" t="n">
        <v>44707</v>
      </c>
      <c r="G64" s="28" t="n">
        <v>44662.4694444445</v>
      </c>
      <c r="H64" s="28" t="n">
        <v>44692.6361111111</v>
      </c>
      <c r="I64" s="24" t="n">
        <v>208.4</v>
      </c>
      <c r="J64" s="24" t="n">
        <v>4.2</v>
      </c>
      <c r="K64" s="24" t="n">
        <v>-204.2</v>
      </c>
      <c r="L64" s="24" t="n">
        <v>10210</v>
      </c>
      <c r="M64" s="24" t="n">
        <v>-0.01</v>
      </c>
      <c r="N64" s="24" t="n">
        <v>50</v>
      </c>
      <c r="O64" s="5" t="str">
        <f aca="false">IF(ABS((J64-I64)-K64)&lt;=0.051,"OK","MISMATCH")</f>
        <v>OK</v>
      </c>
      <c r="P64" s="5" t="str">
        <f aca="false">IF(ABS(IF(C64="Buy",1,-1)*(J64-I64)*N64-L64)&lt;=1.01,"OK","MISMATCH")</f>
        <v>OK</v>
      </c>
    </row>
    <row r="65" customFormat="false" ht="15" hidden="false" customHeight="false" outlineLevel="0" collapsed="false">
      <c r="A65" s="5" t="n">
        <v>16</v>
      </c>
      <c r="B65" s="5" t="n">
        <v>144</v>
      </c>
      <c r="C65" s="5" t="s">
        <v>141</v>
      </c>
      <c r="D65" s="5" t="s">
        <v>144</v>
      </c>
      <c r="E65" s="5" t="n">
        <v>18500</v>
      </c>
      <c r="F65" s="27" t="n">
        <v>44707</v>
      </c>
      <c r="G65" s="28" t="n">
        <v>44662.4694444445</v>
      </c>
      <c r="H65" s="28" t="n">
        <v>44692.6361111111</v>
      </c>
      <c r="I65" s="24" t="n">
        <v>154</v>
      </c>
      <c r="J65" s="24" t="n">
        <v>3.7</v>
      </c>
      <c r="K65" s="24" t="n">
        <v>-150.3</v>
      </c>
      <c r="L65" s="24" t="n">
        <v>-7515</v>
      </c>
      <c r="M65" s="24" t="n">
        <v>0.01</v>
      </c>
      <c r="N65" s="24" t="n">
        <v>50</v>
      </c>
      <c r="O65" s="5" t="str">
        <f aca="false">IF(ABS((J65-I65)-K65)&lt;=0.051,"OK","MISMATCH")</f>
        <v>OK</v>
      </c>
      <c r="P65" s="5" t="str">
        <f aca="false">IF(ABS(IF(C65="Buy",1,-1)*(J65-I65)*N65-L65)&lt;=1.01,"OK","MISMATCH")</f>
        <v>OK</v>
      </c>
    </row>
    <row r="66" customFormat="false" ht="15" hidden="false" customHeight="false" outlineLevel="0" collapsed="false">
      <c r="A66" s="5" t="n">
        <v>17</v>
      </c>
      <c r="B66" s="5" t="n">
        <v>149</v>
      </c>
      <c r="C66" s="5" t="s">
        <v>143</v>
      </c>
      <c r="D66" s="5" t="s">
        <v>142</v>
      </c>
      <c r="E66" s="5" t="n">
        <v>15300</v>
      </c>
      <c r="F66" s="27" t="n">
        <v>44742</v>
      </c>
      <c r="G66" s="28" t="n">
        <v>44697.4694444445</v>
      </c>
      <c r="H66" s="28" t="n">
        <v>44727.6361111111</v>
      </c>
      <c r="I66" s="24" t="n">
        <v>249.7</v>
      </c>
      <c r="J66" s="24" t="n">
        <v>141.3</v>
      </c>
      <c r="K66" s="24" t="n">
        <v>-108.4</v>
      </c>
      <c r="L66" s="24" t="n">
        <v>5420</v>
      </c>
      <c r="M66" s="24" t="n">
        <v>0.29</v>
      </c>
      <c r="N66" s="24" t="n">
        <v>50</v>
      </c>
      <c r="O66" s="5" t="str">
        <f aca="false">IF(ABS((J66-I66)-K66)&lt;=0.051,"OK","MISMATCH")</f>
        <v>OK</v>
      </c>
      <c r="P66" s="5" t="str">
        <f aca="false">IF(ABS(IF(C66="Buy",1,-1)*(J66-I66)*N66-L66)&lt;=1.01,"OK","MISMATCH")</f>
        <v>OK</v>
      </c>
    </row>
    <row r="67" customFormat="false" ht="15" hidden="false" customHeight="false" outlineLevel="0" collapsed="false">
      <c r="A67" s="5" t="n">
        <v>17</v>
      </c>
      <c r="B67" s="5" t="n">
        <v>150</v>
      </c>
      <c r="C67" s="5" t="s">
        <v>141</v>
      </c>
      <c r="D67" s="5" t="s">
        <v>142</v>
      </c>
      <c r="E67" s="5" t="n">
        <v>15100</v>
      </c>
      <c r="F67" s="27" t="n">
        <v>44742</v>
      </c>
      <c r="G67" s="28" t="n">
        <v>44697.4694444445</v>
      </c>
      <c r="H67" s="28" t="n">
        <v>44727.6361111111</v>
      </c>
      <c r="I67" s="24" t="n">
        <v>199.5</v>
      </c>
      <c r="J67" s="24" t="n">
        <v>96.7</v>
      </c>
      <c r="K67" s="24" t="n">
        <v>-102.8</v>
      </c>
      <c r="L67" s="24" t="n">
        <v>-5140</v>
      </c>
      <c r="M67" s="24" t="n">
        <v>-0.21</v>
      </c>
      <c r="N67" s="24" t="n">
        <v>50</v>
      </c>
      <c r="O67" s="5" t="str">
        <f aca="false">IF(ABS((J67-I67)-K67)&lt;=0.051,"OK","MISMATCH")</f>
        <v>OK</v>
      </c>
      <c r="P67" s="5" t="str">
        <f aca="false">IF(ABS(IF(C67="Buy",1,-1)*(J67-I67)*N67-L67)&lt;=1.01,"OK","MISMATCH")</f>
        <v>OK</v>
      </c>
    </row>
    <row r="68" customFormat="false" ht="15" hidden="false" customHeight="false" outlineLevel="0" collapsed="false">
      <c r="A68" s="5" t="n">
        <v>17</v>
      </c>
      <c r="B68" s="5" t="n">
        <v>151</v>
      </c>
      <c r="C68" s="5" t="s">
        <v>143</v>
      </c>
      <c r="D68" s="5" t="s">
        <v>144</v>
      </c>
      <c r="E68" s="5" t="n">
        <v>16500</v>
      </c>
      <c r="F68" s="27" t="n">
        <v>44742</v>
      </c>
      <c r="G68" s="28" t="n">
        <v>44697.4694444445</v>
      </c>
      <c r="H68" s="28" t="n">
        <v>44727.6361111111</v>
      </c>
      <c r="I68" s="24" t="n">
        <v>227</v>
      </c>
      <c r="J68" s="24" t="n">
        <v>41.1</v>
      </c>
      <c r="K68" s="24" t="n">
        <v>-185.9</v>
      </c>
      <c r="L68" s="24" t="n">
        <v>9295</v>
      </c>
      <c r="M68" s="24" t="n">
        <v>-0.13</v>
      </c>
      <c r="N68" s="24" t="n">
        <v>50</v>
      </c>
      <c r="O68" s="5" t="str">
        <f aca="false">IF(ABS((J68-I68)-K68)&lt;=0.051,"OK","MISMATCH")</f>
        <v>OK</v>
      </c>
      <c r="P68" s="5" t="str">
        <f aca="false">IF(ABS(IF(C68="Buy",1,-1)*(J68-I68)*N68-L68)&lt;=1.01,"OK","MISMATCH")</f>
        <v>OK</v>
      </c>
    </row>
    <row r="69" customFormat="false" ht="15" hidden="false" customHeight="false" outlineLevel="0" collapsed="false">
      <c r="A69" s="5" t="n">
        <v>17</v>
      </c>
      <c r="B69" s="5" t="n">
        <v>152</v>
      </c>
      <c r="C69" s="5" t="s">
        <v>141</v>
      </c>
      <c r="D69" s="5" t="s">
        <v>144</v>
      </c>
      <c r="E69" s="5" t="n">
        <v>16700</v>
      </c>
      <c r="F69" s="27" t="n">
        <v>44742</v>
      </c>
      <c r="G69" s="28" t="n">
        <v>44697.4694444445</v>
      </c>
      <c r="H69" s="28" t="n">
        <v>44727.6361111111</v>
      </c>
      <c r="I69" s="24" t="n">
        <v>166.2</v>
      </c>
      <c r="J69" s="24" t="n">
        <v>22.9</v>
      </c>
      <c r="K69" s="24" t="n">
        <v>-143.3</v>
      </c>
      <c r="L69" s="24" t="n">
        <v>-7165</v>
      </c>
      <c r="M69" s="24" t="n">
        <v>0.08</v>
      </c>
      <c r="N69" s="24" t="n">
        <v>50</v>
      </c>
      <c r="O69" s="5" t="str">
        <f aca="false">IF(ABS((J69-I69)-K69)&lt;=0.051,"OK","MISMATCH")</f>
        <v>OK</v>
      </c>
      <c r="P69" s="5" t="str">
        <f aca="false">IF(ABS(IF(C69="Buy",1,-1)*(J69-I69)*N69-L69)&lt;=1.01,"OK","MISMATCH")</f>
        <v>OK</v>
      </c>
    </row>
    <row r="70" customFormat="false" ht="15" hidden="false" customHeight="false" outlineLevel="0" collapsed="false">
      <c r="A70" s="5" t="n">
        <v>18</v>
      </c>
      <c r="B70" s="5" t="n">
        <v>157</v>
      </c>
      <c r="C70" s="5" t="s">
        <v>143</v>
      </c>
      <c r="D70" s="5" t="s">
        <v>142</v>
      </c>
      <c r="E70" s="5" t="n">
        <v>15250</v>
      </c>
      <c r="F70" s="27" t="n">
        <v>44770</v>
      </c>
      <c r="G70" s="28" t="n">
        <v>44725.4694444445</v>
      </c>
      <c r="H70" s="28" t="n">
        <v>44755.6361111111</v>
      </c>
      <c r="I70" s="24" t="n">
        <v>236.3</v>
      </c>
      <c r="J70" s="24" t="n">
        <v>45.9</v>
      </c>
      <c r="K70" s="24" t="n">
        <v>-190.4</v>
      </c>
      <c r="L70" s="24" t="n">
        <v>9520</v>
      </c>
      <c r="M70" s="24" t="n">
        <v>0.13</v>
      </c>
      <c r="N70" s="24" t="n">
        <v>50</v>
      </c>
      <c r="O70" s="5" t="str">
        <f aca="false">IF(ABS((J70-I70)-K70)&lt;=0.051,"OK","MISMATCH")</f>
        <v>OK</v>
      </c>
      <c r="P70" s="5" t="str">
        <f aca="false">IF(ABS(IF(C70="Buy",1,-1)*(J70-I70)*N70-L70)&lt;=1.01,"OK","MISMATCH")</f>
        <v>OK</v>
      </c>
    </row>
    <row r="71" customFormat="false" ht="15" hidden="false" customHeight="false" outlineLevel="0" collapsed="false">
      <c r="A71" s="5" t="n">
        <v>18</v>
      </c>
      <c r="B71" s="5" t="n">
        <v>158</v>
      </c>
      <c r="C71" s="5" t="s">
        <v>141</v>
      </c>
      <c r="D71" s="5" t="s">
        <v>142</v>
      </c>
      <c r="E71" s="5" t="n">
        <v>15050</v>
      </c>
      <c r="F71" s="27" t="n">
        <v>44770</v>
      </c>
      <c r="G71" s="28" t="n">
        <v>44725.4694444445</v>
      </c>
      <c r="H71" s="28" t="n">
        <v>44755.6361111111</v>
      </c>
      <c r="I71" s="24" t="n">
        <v>186.1</v>
      </c>
      <c r="J71" s="24" t="n">
        <v>29.2</v>
      </c>
      <c r="K71" s="24" t="n">
        <v>-156.9</v>
      </c>
      <c r="L71" s="24" t="n">
        <v>-7845</v>
      </c>
      <c r="M71" s="24" t="n">
        <v>-0.09</v>
      </c>
      <c r="N71" s="24" t="n">
        <v>50</v>
      </c>
      <c r="O71" s="5" t="str">
        <f aca="false">IF(ABS((J71-I71)-K71)&lt;=0.051,"OK","MISMATCH")</f>
        <v>OK</v>
      </c>
      <c r="P71" s="5" t="str">
        <f aca="false">IF(ABS(IF(C71="Buy",1,-1)*(J71-I71)*N71-L71)&lt;=1.01,"OK","MISMATCH")</f>
        <v>OK</v>
      </c>
    </row>
    <row r="72" customFormat="false" ht="15" hidden="false" customHeight="false" outlineLevel="0" collapsed="false">
      <c r="A72" s="5" t="n">
        <v>18</v>
      </c>
      <c r="B72" s="5" t="n">
        <v>159</v>
      </c>
      <c r="C72" s="5" t="s">
        <v>143</v>
      </c>
      <c r="D72" s="5" t="s">
        <v>144</v>
      </c>
      <c r="E72" s="5" t="n">
        <v>16450</v>
      </c>
      <c r="F72" s="27" t="n">
        <v>44770</v>
      </c>
      <c r="G72" s="28" t="n">
        <v>44725.4694444445</v>
      </c>
      <c r="H72" s="28" t="n">
        <v>44755.6361111111</v>
      </c>
      <c r="I72" s="24" t="n">
        <v>201</v>
      </c>
      <c r="J72" s="24" t="n">
        <v>55.1</v>
      </c>
      <c r="K72" s="24" t="n">
        <v>-145.9</v>
      </c>
      <c r="L72" s="24" t="n">
        <v>7295</v>
      </c>
      <c r="M72" s="24" t="n">
        <v>-0.19</v>
      </c>
      <c r="N72" s="24" t="n">
        <v>50</v>
      </c>
      <c r="O72" s="5" t="str">
        <f aca="false">IF(ABS((J72-I72)-K72)&lt;=0.051,"OK","MISMATCH")</f>
        <v>OK</v>
      </c>
      <c r="P72" s="5" t="str">
        <f aca="false">IF(ABS(IF(C72="Buy",1,-1)*(J72-I72)*N72-L72)&lt;=1.01,"OK","MISMATCH")</f>
        <v>OK</v>
      </c>
    </row>
    <row r="73" customFormat="false" ht="15" hidden="false" customHeight="false" outlineLevel="0" collapsed="false">
      <c r="A73" s="5" t="n">
        <v>18</v>
      </c>
      <c r="B73" s="5" t="n">
        <v>160</v>
      </c>
      <c r="C73" s="5" t="s">
        <v>141</v>
      </c>
      <c r="D73" s="5" t="s">
        <v>144</v>
      </c>
      <c r="E73" s="5" t="n">
        <v>16650</v>
      </c>
      <c r="F73" s="27" t="n">
        <v>44770</v>
      </c>
      <c r="G73" s="28" t="n">
        <v>44725.4694444445</v>
      </c>
      <c r="H73" s="28" t="n">
        <v>44755.6361111111</v>
      </c>
      <c r="I73" s="24" t="n">
        <v>147.8</v>
      </c>
      <c r="J73" s="24" t="n">
        <v>24.6</v>
      </c>
      <c r="K73" s="24" t="n">
        <v>-123.2</v>
      </c>
      <c r="L73" s="24" t="n">
        <v>-6160</v>
      </c>
      <c r="M73" s="24" t="n">
        <v>0.1</v>
      </c>
      <c r="N73" s="24" t="n">
        <v>50</v>
      </c>
      <c r="O73" s="5" t="str">
        <f aca="false">IF(ABS((J73-I73)-K73)&lt;=0.051,"OK","MISMATCH")</f>
        <v>OK</v>
      </c>
      <c r="P73" s="5" t="str">
        <f aca="false">IF(ABS(IF(C73="Buy",1,-1)*(J73-I73)*N73-L73)&lt;=1.01,"OK","MISMATCH")</f>
        <v>OK</v>
      </c>
    </row>
    <row r="74" customFormat="false" ht="15" hidden="false" customHeight="false" outlineLevel="0" collapsed="false">
      <c r="A74" s="5" t="n">
        <v>19</v>
      </c>
      <c r="B74" s="5" t="n">
        <v>165</v>
      </c>
      <c r="C74" s="5" t="s">
        <v>143</v>
      </c>
      <c r="D74" s="5" t="s">
        <v>142</v>
      </c>
      <c r="E74" s="5" t="n">
        <v>15600</v>
      </c>
      <c r="F74" s="27" t="n">
        <v>44798</v>
      </c>
      <c r="G74" s="28" t="n">
        <v>44753.4694444445</v>
      </c>
      <c r="H74" s="28" t="n">
        <v>44783.6361111111</v>
      </c>
      <c r="I74" s="24" t="n">
        <v>212.9</v>
      </c>
      <c r="J74" s="24" t="n">
        <v>6.7</v>
      </c>
      <c r="K74" s="24" t="n">
        <v>-206.2</v>
      </c>
      <c r="L74" s="24" t="n">
        <v>10310</v>
      </c>
      <c r="M74" s="24" t="n">
        <v>0.02</v>
      </c>
      <c r="N74" s="24" t="n">
        <v>50</v>
      </c>
      <c r="O74" s="5" t="str">
        <f aca="false">IF(ABS((J74-I74)-K74)&lt;=0.051,"OK","MISMATCH")</f>
        <v>OK</v>
      </c>
      <c r="P74" s="5" t="str">
        <f aca="false">IF(ABS(IF(C74="Buy",1,-1)*(J74-I74)*N74-L74)&lt;=1.01,"OK","MISMATCH")</f>
        <v>OK</v>
      </c>
    </row>
    <row r="75" customFormat="false" ht="15" hidden="false" customHeight="false" outlineLevel="0" collapsed="false">
      <c r="A75" s="5" t="n">
        <v>19</v>
      </c>
      <c r="B75" s="5" t="n">
        <v>166</v>
      </c>
      <c r="C75" s="5" t="s">
        <v>141</v>
      </c>
      <c r="D75" s="5" t="s">
        <v>142</v>
      </c>
      <c r="E75" s="5" t="n">
        <v>15400</v>
      </c>
      <c r="F75" s="27" t="n">
        <v>44798</v>
      </c>
      <c r="G75" s="28" t="n">
        <v>44753.4694444445</v>
      </c>
      <c r="H75" s="28" t="n">
        <v>44783.6361111111</v>
      </c>
      <c r="I75" s="24" t="n">
        <v>165.7</v>
      </c>
      <c r="J75" s="24" t="n">
        <v>5.7</v>
      </c>
      <c r="K75" s="24" t="n">
        <v>-160</v>
      </c>
      <c r="L75" s="24" t="n">
        <v>-8000</v>
      </c>
      <c r="M75" s="24" t="n">
        <v>-0.01</v>
      </c>
      <c r="N75" s="24" t="n">
        <v>50</v>
      </c>
      <c r="O75" s="5" t="str">
        <f aca="false">IF(ABS((J75-I75)-K75)&lt;=0.051,"OK","MISMATCH")</f>
        <v>OK</v>
      </c>
      <c r="P75" s="5" t="str">
        <f aca="false">IF(ABS(IF(C75="Buy",1,-1)*(J75-I75)*N75-L75)&lt;=1.01,"OK","MISMATCH")</f>
        <v>OK</v>
      </c>
    </row>
    <row r="76" customFormat="false" ht="15" hidden="false" customHeight="false" outlineLevel="0" collapsed="false">
      <c r="A76" s="5" t="n">
        <v>19</v>
      </c>
      <c r="B76" s="5" t="n">
        <v>167</v>
      </c>
      <c r="C76" s="5" t="s">
        <v>143</v>
      </c>
      <c r="D76" s="5" t="s">
        <v>144</v>
      </c>
      <c r="E76" s="5" t="n">
        <v>16700</v>
      </c>
      <c r="F76" s="27" t="n">
        <v>44798</v>
      </c>
      <c r="G76" s="28" t="n">
        <v>44753.4694444445</v>
      </c>
      <c r="H76" s="28" t="n">
        <v>44783.6361111111</v>
      </c>
      <c r="I76" s="24" t="n">
        <v>183.3</v>
      </c>
      <c r="J76" s="24" t="n">
        <v>906.3</v>
      </c>
      <c r="K76" s="24" t="n">
        <v>723</v>
      </c>
      <c r="L76" s="24" t="n">
        <v>-36150</v>
      </c>
      <c r="M76" s="24" t="n">
        <v>-0.88</v>
      </c>
      <c r="N76" s="24" t="n">
        <v>50</v>
      </c>
      <c r="O76" s="5" t="str">
        <f aca="false">IF(ABS((J76-I76)-K76)&lt;=0.051,"OK","MISMATCH")</f>
        <v>OK</v>
      </c>
      <c r="P76" s="5" t="str">
        <f aca="false">IF(ABS(IF(C76="Buy",1,-1)*(J76-I76)*N76-L76)&lt;=1.01,"OK","MISMATCH")</f>
        <v>OK</v>
      </c>
    </row>
    <row r="77" customFormat="false" ht="15" hidden="false" customHeight="false" outlineLevel="0" collapsed="false">
      <c r="A77" s="5" t="n">
        <v>19</v>
      </c>
      <c r="B77" s="5" t="n">
        <v>168</v>
      </c>
      <c r="C77" s="5" t="s">
        <v>141</v>
      </c>
      <c r="D77" s="5" t="s">
        <v>144</v>
      </c>
      <c r="E77" s="5" t="n">
        <v>16900</v>
      </c>
      <c r="F77" s="27" t="n">
        <v>44798</v>
      </c>
      <c r="G77" s="28" t="n">
        <v>44753.4694444445</v>
      </c>
      <c r="H77" s="28" t="n">
        <v>44783.6361111111</v>
      </c>
      <c r="I77" s="24" t="n">
        <v>126.4</v>
      </c>
      <c r="J77" s="24" t="n">
        <v>719.5</v>
      </c>
      <c r="K77" s="24" t="n">
        <v>593.1</v>
      </c>
      <c r="L77" s="24" t="n">
        <v>29655</v>
      </c>
      <c r="M77" s="24" t="n">
        <v>0.83</v>
      </c>
      <c r="N77" s="24" t="n">
        <v>50</v>
      </c>
      <c r="O77" s="5" t="str">
        <f aca="false">IF(ABS((J77-I77)-K77)&lt;=0.051,"OK","MISMATCH")</f>
        <v>OK</v>
      </c>
      <c r="P77" s="5" t="str">
        <f aca="false">IF(ABS(IF(C77="Buy",1,-1)*(J77-I77)*N77-L77)&lt;=1.01,"OK","MISMATCH")</f>
        <v>OK</v>
      </c>
    </row>
    <row r="78" customFormat="false" ht="15" hidden="false" customHeight="false" outlineLevel="0" collapsed="false">
      <c r="A78" s="5" t="n">
        <v>20</v>
      </c>
      <c r="B78" s="5" t="n">
        <v>173</v>
      </c>
      <c r="C78" s="5" t="s">
        <v>143</v>
      </c>
      <c r="D78" s="5" t="s">
        <v>142</v>
      </c>
      <c r="E78" s="5" t="n">
        <v>17400</v>
      </c>
      <c r="F78" s="27" t="n">
        <v>44833</v>
      </c>
      <c r="G78" s="28" t="n">
        <v>44789.4694444445</v>
      </c>
      <c r="H78" s="28" t="n">
        <v>44818.6361111111</v>
      </c>
      <c r="I78" s="24" t="n">
        <v>217.6</v>
      </c>
      <c r="J78" s="24" t="n">
        <v>75.2</v>
      </c>
      <c r="K78" s="24" t="n">
        <v>-142.4</v>
      </c>
      <c r="L78" s="24" t="n">
        <v>7120</v>
      </c>
      <c r="M78" s="24" t="n">
        <v>0.19</v>
      </c>
      <c r="N78" s="24" t="n">
        <v>50</v>
      </c>
      <c r="O78" s="5" t="str">
        <f aca="false">IF(ABS((J78-I78)-K78)&lt;=0.051,"OK","MISMATCH")</f>
        <v>OK</v>
      </c>
      <c r="P78" s="5" t="str">
        <f aca="false">IF(ABS(IF(C78="Buy",1,-1)*(J78-I78)*N78-L78)&lt;=1.01,"OK","MISMATCH")</f>
        <v>OK</v>
      </c>
    </row>
    <row r="79" customFormat="false" ht="15" hidden="false" customHeight="false" outlineLevel="0" collapsed="false">
      <c r="A79" s="5" t="n">
        <v>20</v>
      </c>
      <c r="B79" s="5" t="n">
        <v>174</v>
      </c>
      <c r="C79" s="5" t="s">
        <v>141</v>
      </c>
      <c r="D79" s="5" t="s">
        <v>142</v>
      </c>
      <c r="E79" s="5" t="n">
        <v>17200</v>
      </c>
      <c r="F79" s="27" t="n">
        <v>44833</v>
      </c>
      <c r="G79" s="28" t="n">
        <v>44789.4694444445</v>
      </c>
      <c r="H79" s="28" t="n">
        <v>44818.6361111111</v>
      </c>
      <c r="I79" s="24" t="n">
        <v>173</v>
      </c>
      <c r="J79" s="24" t="n">
        <v>48.5</v>
      </c>
      <c r="K79" s="24" t="n">
        <v>-124.5</v>
      </c>
      <c r="L79" s="24" t="n">
        <v>-6225</v>
      </c>
      <c r="M79" s="24" t="n">
        <v>-0.13</v>
      </c>
      <c r="N79" s="24" t="n">
        <v>50</v>
      </c>
      <c r="O79" s="5" t="str">
        <f aca="false">IF(ABS((J79-I79)-K79)&lt;=0.051,"OK","MISMATCH")</f>
        <v>OK</v>
      </c>
      <c r="P79" s="5" t="str">
        <f aca="false">IF(ABS(IF(C79="Buy",1,-1)*(J79-I79)*N79-L79)&lt;=1.01,"OK","MISMATCH")</f>
        <v>OK</v>
      </c>
    </row>
    <row r="80" customFormat="false" ht="15" hidden="false" customHeight="false" outlineLevel="0" collapsed="false">
      <c r="A80" s="5" t="n">
        <v>20</v>
      </c>
      <c r="B80" s="5" t="n">
        <v>175</v>
      </c>
      <c r="C80" s="5" t="s">
        <v>143</v>
      </c>
      <c r="D80" s="5" t="s">
        <v>144</v>
      </c>
      <c r="E80" s="5" t="n">
        <v>18400</v>
      </c>
      <c r="F80" s="27" t="n">
        <v>44833</v>
      </c>
      <c r="G80" s="28" t="n">
        <v>44789.4694444445</v>
      </c>
      <c r="H80" s="28" t="n">
        <v>44818.6361111111</v>
      </c>
      <c r="I80" s="24" t="n">
        <v>166.6</v>
      </c>
      <c r="J80" s="24" t="n">
        <v>89.8</v>
      </c>
      <c r="K80" s="24" t="n">
        <v>-76.8</v>
      </c>
      <c r="L80" s="24" t="n">
        <v>3840</v>
      </c>
      <c r="M80" s="24" t="n">
        <v>-0.26</v>
      </c>
      <c r="N80" s="24" t="n">
        <v>50</v>
      </c>
      <c r="O80" s="5" t="str">
        <f aca="false">IF(ABS((J80-I80)-K80)&lt;=0.051,"OK","MISMATCH")</f>
        <v>OK</v>
      </c>
      <c r="P80" s="5" t="str">
        <f aca="false">IF(ABS(IF(C80="Buy",1,-1)*(J80-I80)*N80-L80)&lt;=1.01,"OK","MISMATCH")</f>
        <v>OK</v>
      </c>
    </row>
    <row r="81" customFormat="false" ht="15" hidden="false" customHeight="false" outlineLevel="0" collapsed="false">
      <c r="A81" s="5" t="n">
        <v>20</v>
      </c>
      <c r="B81" s="5" t="n">
        <v>176</v>
      </c>
      <c r="C81" s="5" t="s">
        <v>141</v>
      </c>
      <c r="D81" s="5" t="s">
        <v>144</v>
      </c>
      <c r="E81" s="5" t="n">
        <v>18600</v>
      </c>
      <c r="F81" s="27" t="n">
        <v>44833</v>
      </c>
      <c r="G81" s="28" t="n">
        <v>44789.4694444445</v>
      </c>
      <c r="H81" s="28" t="n">
        <v>44818.6361111111</v>
      </c>
      <c r="I81" s="24" t="n">
        <v>107.7</v>
      </c>
      <c r="J81" s="24" t="n">
        <v>46</v>
      </c>
      <c r="K81" s="24" t="n">
        <v>-61.7</v>
      </c>
      <c r="L81" s="24" t="n">
        <v>-3085</v>
      </c>
      <c r="M81" s="24" t="n">
        <v>0.16</v>
      </c>
      <c r="N81" s="24" t="n">
        <v>50</v>
      </c>
      <c r="O81" s="5" t="str">
        <f aca="false">IF(ABS((J81-I81)-K81)&lt;=0.051,"OK","MISMATCH")</f>
        <v>OK</v>
      </c>
      <c r="P81" s="5" t="str">
        <f aca="false">IF(ABS(IF(C81="Buy",1,-1)*(J81-I81)*N81-L81)&lt;=1.01,"OK","MISMATCH")</f>
        <v>OK</v>
      </c>
    </row>
    <row r="82" customFormat="false" ht="15" hidden="false" customHeight="false" outlineLevel="0" collapsed="false">
      <c r="A82" s="5" t="n">
        <v>21</v>
      </c>
      <c r="B82" s="5" t="n">
        <v>181</v>
      </c>
      <c r="C82" s="5" t="s">
        <v>143</v>
      </c>
      <c r="D82" s="5" t="s">
        <v>142</v>
      </c>
      <c r="E82" s="5" t="n">
        <v>17500</v>
      </c>
      <c r="F82" s="27" t="n">
        <v>44861</v>
      </c>
      <c r="G82" s="28" t="n">
        <v>44816.4694444445</v>
      </c>
      <c r="H82" s="28" t="n">
        <v>44846.6361111111</v>
      </c>
      <c r="I82" s="24" t="n">
        <v>226.6</v>
      </c>
      <c r="J82" s="24" t="n">
        <v>504</v>
      </c>
      <c r="K82" s="24" t="n">
        <v>277.4</v>
      </c>
      <c r="L82" s="24" t="n">
        <v>-13869</v>
      </c>
      <c r="M82" s="24" t="n">
        <v>0.72</v>
      </c>
      <c r="N82" s="24" t="n">
        <v>50</v>
      </c>
      <c r="O82" s="5" t="str">
        <f aca="false">IF(ABS((J82-I82)-K82)&lt;=0.051,"OK","MISMATCH")</f>
        <v>OK</v>
      </c>
      <c r="P82" s="5" t="str">
        <f aca="false">IF(ABS(IF(C82="Buy",1,-1)*(J82-I82)*N82-L82)&lt;=1.01,"OK","MISMATCH")</f>
        <v>OK</v>
      </c>
    </row>
    <row r="83" customFormat="false" ht="15" hidden="false" customHeight="false" outlineLevel="0" collapsed="false">
      <c r="A83" s="5" t="n">
        <v>21</v>
      </c>
      <c r="B83" s="5" t="n">
        <v>182</v>
      </c>
      <c r="C83" s="5" t="s">
        <v>141</v>
      </c>
      <c r="D83" s="5" t="s">
        <v>142</v>
      </c>
      <c r="E83" s="5" t="n">
        <v>17300</v>
      </c>
      <c r="F83" s="27" t="n">
        <v>44861</v>
      </c>
      <c r="G83" s="28" t="n">
        <v>44816.4694444445</v>
      </c>
      <c r="H83" s="28" t="n">
        <v>44846.6361111111</v>
      </c>
      <c r="I83" s="24" t="n">
        <v>175.5</v>
      </c>
      <c r="J83" s="24" t="n">
        <v>374.6</v>
      </c>
      <c r="K83" s="24" t="n">
        <v>199.1</v>
      </c>
      <c r="L83" s="24" t="n">
        <v>9955</v>
      </c>
      <c r="M83" s="24" t="n">
        <v>-0.61</v>
      </c>
      <c r="N83" s="24" t="n">
        <v>50</v>
      </c>
      <c r="O83" s="5" t="str">
        <f aca="false">IF(ABS((J83-I83)-K83)&lt;=0.051,"OK","MISMATCH")</f>
        <v>OK</v>
      </c>
      <c r="P83" s="5" t="str">
        <f aca="false">IF(ABS(IF(C83="Buy",1,-1)*(J83-I83)*N83-L83)&lt;=1.01,"OK","MISMATCH")</f>
        <v>OK</v>
      </c>
    </row>
    <row r="84" customFormat="false" ht="15" hidden="false" customHeight="false" outlineLevel="0" collapsed="false">
      <c r="A84" s="5" t="n">
        <v>21</v>
      </c>
      <c r="B84" s="5" t="n">
        <v>183</v>
      </c>
      <c r="C84" s="5" t="s">
        <v>143</v>
      </c>
      <c r="D84" s="5" t="s">
        <v>144</v>
      </c>
      <c r="E84" s="5" t="n">
        <v>18500</v>
      </c>
      <c r="F84" s="27" t="n">
        <v>44861</v>
      </c>
      <c r="G84" s="28" t="n">
        <v>44816.4694444445</v>
      </c>
      <c r="H84" s="28" t="n">
        <v>44846.6361111111</v>
      </c>
      <c r="I84" s="24" t="n">
        <v>200</v>
      </c>
      <c r="J84" s="24" t="n">
        <v>5.5</v>
      </c>
      <c r="K84" s="24" t="n">
        <v>-194.5</v>
      </c>
      <c r="L84" s="24" t="n">
        <v>9725</v>
      </c>
      <c r="M84" s="24" t="n">
        <v>-0.02</v>
      </c>
      <c r="N84" s="24" t="n">
        <v>50</v>
      </c>
      <c r="O84" s="5" t="str">
        <f aca="false">IF(ABS((J84-I84)-K84)&lt;=0.051,"OK","MISMATCH")</f>
        <v>OK</v>
      </c>
      <c r="P84" s="5" t="str">
        <f aca="false">IF(ABS(IF(C84="Buy",1,-1)*(J84-I84)*N84-L84)&lt;=1.01,"OK","MISMATCH")</f>
        <v>OK</v>
      </c>
    </row>
    <row r="85" customFormat="false" ht="15" hidden="false" customHeight="false" outlineLevel="0" collapsed="false">
      <c r="A85" s="5" t="n">
        <v>21</v>
      </c>
      <c r="B85" s="5" t="n">
        <v>184</v>
      </c>
      <c r="C85" s="5" t="s">
        <v>141</v>
      </c>
      <c r="D85" s="5" t="s">
        <v>144</v>
      </c>
      <c r="E85" s="5" t="n">
        <v>18700</v>
      </c>
      <c r="F85" s="27" t="n">
        <v>44861</v>
      </c>
      <c r="G85" s="28" t="n">
        <v>44816.4694444445</v>
      </c>
      <c r="H85" s="28" t="n">
        <v>44846.6361111111</v>
      </c>
      <c r="I85" s="24" t="n">
        <v>137.6</v>
      </c>
      <c r="J85" s="24" t="n">
        <v>4</v>
      </c>
      <c r="K85" s="24" t="n">
        <v>-133.6</v>
      </c>
      <c r="L85" s="24" t="n">
        <v>-6680</v>
      </c>
      <c r="M85" s="24" t="n">
        <v>0.02</v>
      </c>
      <c r="N85" s="24" t="n">
        <v>50</v>
      </c>
      <c r="O85" s="5" t="str">
        <f aca="false">IF(ABS((J85-I85)-K85)&lt;=0.051,"OK","MISMATCH")</f>
        <v>OK</v>
      </c>
      <c r="P85" s="5" t="str">
        <f aca="false">IF(ABS(IF(C85="Buy",1,-1)*(J85-I85)*N85-L85)&lt;=1.01,"OK","MISMATCH")</f>
        <v>OK</v>
      </c>
    </row>
    <row r="86" customFormat="false" ht="15" hidden="false" customHeight="false" outlineLevel="0" collapsed="false">
      <c r="A86" s="5" t="n">
        <v>22</v>
      </c>
      <c r="B86" s="5" t="n">
        <v>189</v>
      </c>
      <c r="C86" s="5" t="s">
        <v>141</v>
      </c>
      <c r="D86" s="5" t="s">
        <v>142</v>
      </c>
      <c r="E86" s="5" t="n">
        <v>16300</v>
      </c>
      <c r="F86" s="27" t="n">
        <v>44889</v>
      </c>
      <c r="G86" s="28" t="n">
        <v>44844.4694444445</v>
      </c>
      <c r="H86" s="28" t="n">
        <v>44874.6361111111</v>
      </c>
      <c r="I86" s="24" t="n">
        <v>171</v>
      </c>
      <c r="J86" s="24" t="n">
        <v>3.1</v>
      </c>
      <c r="K86" s="24" t="n">
        <v>-167.9</v>
      </c>
      <c r="L86" s="24" t="n">
        <v>-8395</v>
      </c>
      <c r="M86" s="24" t="n">
        <v>-0.01</v>
      </c>
      <c r="N86" s="24" t="n">
        <v>50</v>
      </c>
      <c r="O86" s="5" t="str">
        <f aca="false">IF(ABS((J86-I86)-K86)&lt;=0.051,"OK","MISMATCH")</f>
        <v>OK</v>
      </c>
      <c r="P86" s="5" t="str">
        <f aca="false">IF(ABS(IF(C86="Buy",1,-1)*(J86-I86)*N86-L86)&lt;=1.01,"OK","MISMATCH")</f>
        <v>OK</v>
      </c>
    </row>
    <row r="87" customFormat="false" ht="15" hidden="false" customHeight="false" outlineLevel="0" collapsed="false">
      <c r="A87" s="5" t="n">
        <v>22</v>
      </c>
      <c r="B87" s="5" t="n">
        <v>190</v>
      </c>
      <c r="C87" s="5" t="s">
        <v>143</v>
      </c>
      <c r="D87" s="5" t="s">
        <v>144</v>
      </c>
      <c r="E87" s="5" t="n">
        <v>17800</v>
      </c>
      <c r="F87" s="27" t="n">
        <v>44889</v>
      </c>
      <c r="G87" s="28" t="n">
        <v>44844.4694444445</v>
      </c>
      <c r="H87" s="28" t="n">
        <v>44874.6361111111</v>
      </c>
      <c r="I87" s="24" t="n">
        <v>186</v>
      </c>
      <c r="J87" s="24" t="n">
        <v>495</v>
      </c>
      <c r="K87" s="24" t="n">
        <v>309</v>
      </c>
      <c r="L87" s="24" t="n">
        <v>-15450</v>
      </c>
      <c r="M87" s="24" t="n">
        <v>-0.78</v>
      </c>
      <c r="N87" s="24" t="n">
        <v>50</v>
      </c>
      <c r="O87" s="5" t="str">
        <f aca="false">IF(ABS((J87-I87)-K87)&lt;=0.051,"OK","MISMATCH")</f>
        <v>OK</v>
      </c>
      <c r="P87" s="5" t="str">
        <f aca="false">IF(ABS(IF(C87="Buy",1,-1)*(J87-I87)*N87-L87)&lt;=1.01,"OK","MISMATCH")</f>
        <v>OK</v>
      </c>
    </row>
    <row r="88" customFormat="false" ht="15" hidden="false" customHeight="false" outlineLevel="0" collapsed="false">
      <c r="A88" s="5" t="n">
        <v>22</v>
      </c>
      <c r="B88" s="5" t="n">
        <v>191</v>
      </c>
      <c r="C88" s="5" t="s">
        <v>141</v>
      </c>
      <c r="D88" s="5" t="s">
        <v>144</v>
      </c>
      <c r="E88" s="5" t="n">
        <v>18000</v>
      </c>
      <c r="F88" s="27" t="n">
        <v>44889</v>
      </c>
      <c r="G88" s="28" t="n">
        <v>44844.4694444445</v>
      </c>
      <c r="H88" s="28" t="n">
        <v>44874.6361111111</v>
      </c>
      <c r="I88" s="24" t="n">
        <v>133.6</v>
      </c>
      <c r="J88" s="24" t="n">
        <v>351.9</v>
      </c>
      <c r="K88" s="24" t="n">
        <v>218.3</v>
      </c>
      <c r="L88" s="24" t="n">
        <v>10915</v>
      </c>
      <c r="M88" s="24" t="n">
        <v>0.66</v>
      </c>
      <c r="N88" s="24" t="n">
        <v>50</v>
      </c>
      <c r="O88" s="5" t="str">
        <f aca="false">IF(ABS((J88-I88)-K88)&lt;=0.051,"OK","MISMATCH")</f>
        <v>OK</v>
      </c>
      <c r="P88" s="5" t="str">
        <f aca="false">IF(ABS(IF(C88="Buy",1,-1)*(J88-I88)*N88-L88)&lt;=1.01,"OK","MISMATCH")</f>
        <v>OK</v>
      </c>
    </row>
    <row r="89" customFormat="false" ht="15" hidden="false" customHeight="false" outlineLevel="0" collapsed="false">
      <c r="A89" s="5" t="n">
        <v>22</v>
      </c>
      <c r="B89" s="5" t="n">
        <v>192</v>
      </c>
      <c r="C89" s="5" t="s">
        <v>143</v>
      </c>
      <c r="D89" s="5" t="s">
        <v>142</v>
      </c>
      <c r="E89" s="5" t="n">
        <v>16500</v>
      </c>
      <c r="F89" s="27" t="n">
        <v>44889</v>
      </c>
      <c r="G89" s="28" t="n">
        <v>44844.4694444445</v>
      </c>
      <c r="H89" s="28" t="n">
        <v>44874.6361111111</v>
      </c>
      <c r="I89" s="24" t="n">
        <v>217.9</v>
      </c>
      <c r="J89" s="24" t="n">
        <v>4.1</v>
      </c>
      <c r="K89" s="24" t="n">
        <v>-213.8</v>
      </c>
      <c r="L89" s="24" t="n">
        <v>10690</v>
      </c>
      <c r="M89" s="24" t="n">
        <v>0.01</v>
      </c>
      <c r="N89" s="24" t="n">
        <v>50</v>
      </c>
      <c r="O89" s="5" t="str">
        <f aca="false">IF(ABS((J89-I89)-K89)&lt;=0.051,"OK","MISMATCH")</f>
        <v>OK</v>
      </c>
      <c r="P89" s="5" t="str">
        <f aca="false">IF(ABS(IF(C89="Buy",1,-1)*(J89-I89)*N89-L89)&lt;=1.01,"OK","MISMATCH")</f>
        <v>OK</v>
      </c>
    </row>
    <row r="90" customFormat="false" ht="15" hidden="false" customHeight="false" outlineLevel="0" collapsed="false">
      <c r="A90" s="5" t="n">
        <v>23</v>
      </c>
      <c r="B90" s="5" t="n">
        <v>197</v>
      </c>
      <c r="C90" s="5" t="s">
        <v>141</v>
      </c>
      <c r="D90" s="5" t="s">
        <v>142</v>
      </c>
      <c r="E90" s="5" t="n">
        <v>17800</v>
      </c>
      <c r="F90" s="27" t="n">
        <v>44924</v>
      </c>
      <c r="G90" s="28" t="n">
        <v>44879.4694444445</v>
      </c>
      <c r="H90" s="28" t="n">
        <v>44907.6361111111</v>
      </c>
      <c r="I90" s="24" t="n">
        <v>127.4</v>
      </c>
      <c r="J90" s="24" t="n">
        <v>20.8</v>
      </c>
      <c r="K90" s="24" t="n">
        <v>-106.6</v>
      </c>
      <c r="L90" s="24" t="n">
        <v>-5330</v>
      </c>
      <c r="M90" s="24" t="n">
        <v>-0.08</v>
      </c>
      <c r="N90" s="24" t="n">
        <v>50</v>
      </c>
      <c r="O90" s="5" t="str">
        <f aca="false">IF(ABS((J90-I90)-K90)&lt;=0.051,"OK","MISMATCH")</f>
        <v>OK</v>
      </c>
      <c r="P90" s="5" t="str">
        <f aca="false">IF(ABS(IF(C90="Buy",1,-1)*(J90-I90)*N90-L90)&lt;=1.01,"OK","MISMATCH")</f>
        <v>OK</v>
      </c>
    </row>
    <row r="91" customFormat="false" ht="15" hidden="false" customHeight="false" outlineLevel="0" collapsed="false">
      <c r="A91" s="5" t="n">
        <v>23</v>
      </c>
      <c r="B91" s="5" t="n">
        <v>198</v>
      </c>
      <c r="C91" s="5" t="s">
        <v>143</v>
      </c>
      <c r="D91" s="5" t="s">
        <v>144</v>
      </c>
      <c r="E91" s="5" t="n">
        <v>18900</v>
      </c>
      <c r="F91" s="27" t="n">
        <v>44924</v>
      </c>
      <c r="G91" s="28" t="n">
        <v>44879.4694444445</v>
      </c>
      <c r="H91" s="28" t="n">
        <v>44907.6361111111</v>
      </c>
      <c r="I91" s="24" t="n">
        <v>157</v>
      </c>
      <c r="J91" s="24" t="n">
        <v>65.8</v>
      </c>
      <c r="K91" s="24" t="n">
        <v>-91.2</v>
      </c>
      <c r="L91" s="24" t="n">
        <v>4560</v>
      </c>
      <c r="M91" s="24" t="n">
        <v>-0.26</v>
      </c>
      <c r="N91" s="24" t="n">
        <v>50</v>
      </c>
      <c r="O91" s="5" t="str">
        <f aca="false">IF(ABS((J91-I91)-K91)&lt;=0.051,"OK","MISMATCH")</f>
        <v>OK</v>
      </c>
      <c r="P91" s="5" t="str">
        <f aca="false">IF(ABS(IF(C91="Buy",1,-1)*(J91-I91)*N91-L91)&lt;=1.01,"OK","MISMATCH")</f>
        <v>OK</v>
      </c>
    </row>
    <row r="92" customFormat="false" ht="15" hidden="false" customHeight="false" outlineLevel="0" collapsed="false">
      <c r="A92" s="5" t="n">
        <v>23</v>
      </c>
      <c r="B92" s="5" t="n">
        <v>199</v>
      </c>
      <c r="C92" s="5" t="s">
        <v>141</v>
      </c>
      <c r="D92" s="5" t="s">
        <v>144</v>
      </c>
      <c r="E92" s="5" t="n">
        <v>19100</v>
      </c>
      <c r="F92" s="27" t="n">
        <v>44924</v>
      </c>
      <c r="G92" s="28" t="n">
        <v>44879.4694444445</v>
      </c>
      <c r="H92" s="28" t="n">
        <v>44907.6361111111</v>
      </c>
      <c r="I92" s="24" t="n">
        <v>99.5</v>
      </c>
      <c r="J92" s="24" t="n">
        <v>26.4</v>
      </c>
      <c r="K92" s="24" t="n">
        <v>-73.1</v>
      </c>
      <c r="L92" s="24" t="n">
        <v>-3654</v>
      </c>
      <c r="M92" s="24" t="n">
        <v>0.13</v>
      </c>
      <c r="N92" s="24" t="n">
        <v>50</v>
      </c>
      <c r="O92" s="5" t="str">
        <f aca="false">IF(ABS((J92-I92)-K92)&lt;=0.051,"OK","MISMATCH")</f>
        <v>OK</v>
      </c>
      <c r="P92" s="5" t="str">
        <f aca="false">IF(ABS(IF(C92="Buy",1,-1)*(J92-I92)*N92-L92)&lt;=1.01,"OK","MISMATCH")</f>
        <v>OK</v>
      </c>
    </row>
    <row r="93" customFormat="false" ht="15" hidden="false" customHeight="false" outlineLevel="0" collapsed="false">
      <c r="A93" s="5" t="n">
        <v>23</v>
      </c>
      <c r="B93" s="5" t="n">
        <v>200</v>
      </c>
      <c r="C93" s="5" t="s">
        <v>143</v>
      </c>
      <c r="D93" s="5" t="s">
        <v>142</v>
      </c>
      <c r="E93" s="5" t="n">
        <v>18000</v>
      </c>
      <c r="F93" s="27" t="n">
        <v>44924</v>
      </c>
      <c r="G93" s="28" t="n">
        <v>44879.4694444445</v>
      </c>
      <c r="H93" s="28" t="n">
        <v>44907.6361111111</v>
      </c>
      <c r="I93" s="24" t="n">
        <v>175.1</v>
      </c>
      <c r="J93" s="24" t="n">
        <v>35.9</v>
      </c>
      <c r="K93" s="24" t="n">
        <v>-139.2</v>
      </c>
      <c r="L93" s="24" t="n">
        <v>6959</v>
      </c>
      <c r="M93" s="24" t="n">
        <v>0.13</v>
      </c>
      <c r="N93" s="24" t="n">
        <v>50</v>
      </c>
      <c r="O93" s="5" t="str">
        <f aca="false">IF(ABS((J93-I93)-K93)&lt;=0.051,"OK","MISMATCH")</f>
        <v>OK</v>
      </c>
      <c r="P93" s="5" t="str">
        <f aca="false">IF(ABS(IF(C93="Buy",1,-1)*(J93-I93)*N93-L93)&lt;=1.01,"OK","MISMATCH")</f>
        <v>OK</v>
      </c>
    </row>
    <row r="94" customFormat="false" ht="15" hidden="false" customHeight="false" outlineLevel="0" collapsed="false">
      <c r="A94" s="5" t="n">
        <v>24</v>
      </c>
      <c r="B94" s="5" t="n">
        <v>205</v>
      </c>
      <c r="C94" s="5" t="s">
        <v>143</v>
      </c>
      <c r="D94" s="5" t="s">
        <v>142</v>
      </c>
      <c r="E94" s="5" t="n">
        <v>18300</v>
      </c>
      <c r="F94" s="27" t="n">
        <v>44951</v>
      </c>
      <c r="G94" s="28" t="n">
        <v>44907.4694444445</v>
      </c>
      <c r="H94" s="28" t="n">
        <v>44936.6361111111</v>
      </c>
      <c r="I94" s="24" t="n">
        <v>169.8</v>
      </c>
      <c r="J94" s="24" t="n">
        <v>392</v>
      </c>
      <c r="K94" s="24" t="n">
        <v>222.2</v>
      </c>
      <c r="L94" s="24" t="n">
        <v>-11110</v>
      </c>
      <c r="M94" s="24" t="n">
        <v>0.74</v>
      </c>
      <c r="N94" s="24" t="n">
        <v>50</v>
      </c>
      <c r="O94" s="5" t="str">
        <f aca="false">IF(ABS((J94-I94)-K94)&lt;=0.051,"OK","MISMATCH")</f>
        <v>OK</v>
      </c>
      <c r="P94" s="5" t="str">
        <f aca="false">IF(ABS(IF(C94="Buy",1,-1)*(J94-I94)*N94-L94)&lt;=1.01,"OK","MISMATCH")</f>
        <v>OK</v>
      </c>
    </row>
    <row r="95" customFormat="false" ht="15" hidden="false" customHeight="false" outlineLevel="0" collapsed="false">
      <c r="A95" s="5" t="n">
        <v>24</v>
      </c>
      <c r="B95" s="5" t="n">
        <v>206</v>
      </c>
      <c r="C95" s="5" t="s">
        <v>141</v>
      </c>
      <c r="D95" s="5" t="s">
        <v>142</v>
      </c>
      <c r="E95" s="5" t="n">
        <v>18100</v>
      </c>
      <c r="F95" s="27" t="n">
        <v>44951</v>
      </c>
      <c r="G95" s="28" t="n">
        <v>44907.4694444445</v>
      </c>
      <c r="H95" s="28" t="n">
        <v>44936.6361111111</v>
      </c>
      <c r="I95" s="24" t="n">
        <v>121.5</v>
      </c>
      <c r="J95" s="24" t="n">
        <v>260.7</v>
      </c>
      <c r="K95" s="24" t="n">
        <v>139.2</v>
      </c>
      <c r="L95" s="24" t="n">
        <v>6959</v>
      </c>
      <c r="M95" s="24" t="n">
        <v>-0.59</v>
      </c>
      <c r="N95" s="24" t="n">
        <v>50</v>
      </c>
      <c r="O95" s="5" t="str">
        <f aca="false">IF(ABS((J95-I95)-K95)&lt;=0.051,"OK","MISMATCH")</f>
        <v>OK</v>
      </c>
      <c r="P95" s="5" t="str">
        <f aca="false">IF(ABS(IF(C95="Buy",1,-1)*(J95-I95)*N95-L95)&lt;=1.01,"OK","MISMATCH")</f>
        <v>OK</v>
      </c>
    </row>
    <row r="96" customFormat="false" ht="15" hidden="false" customHeight="false" outlineLevel="0" collapsed="false">
      <c r="A96" s="5" t="n">
        <v>24</v>
      </c>
      <c r="B96" s="5" t="n">
        <v>207</v>
      </c>
      <c r="C96" s="5" t="s">
        <v>143</v>
      </c>
      <c r="D96" s="5" t="s">
        <v>144</v>
      </c>
      <c r="E96" s="5" t="n">
        <v>19100</v>
      </c>
      <c r="F96" s="27" t="n">
        <v>44951</v>
      </c>
      <c r="G96" s="28" t="n">
        <v>44907.4694444445</v>
      </c>
      <c r="H96" s="28" t="n">
        <v>44936.6361111111</v>
      </c>
      <c r="I96" s="24" t="n">
        <v>149.9</v>
      </c>
      <c r="J96" s="24" t="n">
        <v>7.2</v>
      </c>
      <c r="K96" s="24" t="n">
        <v>-142.7</v>
      </c>
      <c r="L96" s="24" t="n">
        <v>7134</v>
      </c>
      <c r="M96" s="24" t="n">
        <v>-0.03</v>
      </c>
      <c r="N96" s="24" t="n">
        <v>50</v>
      </c>
      <c r="O96" s="5" t="str">
        <f aca="false">IF(ABS((J96-I96)-K96)&lt;=0.051,"OK","MISMATCH")</f>
        <v>OK</v>
      </c>
      <c r="P96" s="5" t="str">
        <f aca="false">IF(ABS(IF(C96="Buy",1,-1)*(J96-I96)*N96-L96)&lt;=1.01,"OK","MISMATCH")</f>
        <v>OK</v>
      </c>
    </row>
    <row r="97" customFormat="false" ht="15" hidden="false" customHeight="false" outlineLevel="0" collapsed="false">
      <c r="A97" s="5" t="n">
        <v>24</v>
      </c>
      <c r="B97" s="5" t="n">
        <v>208</v>
      </c>
      <c r="C97" s="5" t="s">
        <v>141</v>
      </c>
      <c r="D97" s="5" t="s">
        <v>144</v>
      </c>
      <c r="E97" s="5" t="n">
        <v>19300</v>
      </c>
      <c r="F97" s="27" t="n">
        <v>44951</v>
      </c>
      <c r="G97" s="28" t="n">
        <v>44907.4694444445</v>
      </c>
      <c r="H97" s="28" t="n">
        <v>44936.6361111111</v>
      </c>
      <c r="I97" s="24" t="n">
        <v>91</v>
      </c>
      <c r="J97" s="24" t="n">
        <v>5.8</v>
      </c>
      <c r="K97" s="24" t="n">
        <v>-85.2</v>
      </c>
      <c r="L97" s="24" t="n">
        <v>-4260</v>
      </c>
      <c r="M97" s="24" t="n">
        <v>0.02</v>
      </c>
      <c r="N97" s="24" t="n">
        <v>50</v>
      </c>
      <c r="O97" s="5" t="str">
        <f aca="false">IF(ABS((J97-I97)-K97)&lt;=0.051,"OK","MISMATCH")</f>
        <v>OK</v>
      </c>
      <c r="P97" s="5" t="str">
        <f aca="false">IF(ABS(IF(C97="Buy",1,-1)*(J97-I97)*N97-L97)&lt;=1.01,"OK","MISMATCH")</f>
        <v>OK</v>
      </c>
    </row>
    <row r="98" customFormat="false" ht="15" hidden="false" customHeight="false" outlineLevel="0" collapsed="false">
      <c r="A98" s="5" t="n">
        <v>25</v>
      </c>
      <c r="B98" s="5" t="n">
        <v>213</v>
      </c>
      <c r="C98" s="5" t="s">
        <v>141</v>
      </c>
      <c r="D98" s="5" t="s">
        <v>142</v>
      </c>
      <c r="E98" s="5" t="n">
        <v>17550</v>
      </c>
      <c r="F98" s="27" t="n">
        <v>44980</v>
      </c>
      <c r="G98" s="28" t="n">
        <v>44935.4694444445</v>
      </c>
      <c r="H98" s="28" t="n">
        <v>44965.6361111111</v>
      </c>
      <c r="I98" s="24" t="n">
        <v>151</v>
      </c>
      <c r="J98" s="24" t="n">
        <v>65</v>
      </c>
      <c r="K98" s="24" t="n">
        <v>-86</v>
      </c>
      <c r="L98" s="24" t="n">
        <v>-4300</v>
      </c>
      <c r="M98" s="24" t="n">
        <v>-0.23</v>
      </c>
      <c r="N98" s="24" t="n">
        <v>50</v>
      </c>
      <c r="O98" s="5" t="str">
        <f aca="false">IF(ABS((J98-I98)-K98)&lt;=0.051,"OK","MISMATCH")</f>
        <v>OK</v>
      </c>
      <c r="P98" s="5" t="str">
        <f aca="false">IF(ABS(IF(C98="Buy",1,-1)*(J98-I98)*N98-L98)&lt;=1.01,"OK","MISMATCH")</f>
        <v>OK</v>
      </c>
    </row>
    <row r="99" customFormat="false" ht="15" hidden="false" customHeight="false" outlineLevel="0" collapsed="false">
      <c r="A99" s="5" t="n">
        <v>25</v>
      </c>
      <c r="B99" s="5" t="n">
        <v>214</v>
      </c>
      <c r="C99" s="5" t="s">
        <v>143</v>
      </c>
      <c r="D99" s="5" t="s">
        <v>144</v>
      </c>
      <c r="E99" s="5" t="n">
        <v>18700</v>
      </c>
      <c r="F99" s="27" t="n">
        <v>44980</v>
      </c>
      <c r="G99" s="28" t="n">
        <v>44935.4694444445</v>
      </c>
      <c r="H99" s="28" t="n">
        <v>44965.6361111111</v>
      </c>
      <c r="I99" s="24" t="n">
        <v>169.9</v>
      </c>
      <c r="J99" s="24" t="n">
        <v>5.3</v>
      </c>
      <c r="K99" s="24" t="n">
        <v>-164.6</v>
      </c>
      <c r="L99" s="24" t="n">
        <v>8230</v>
      </c>
      <c r="M99" s="24" t="n">
        <v>-0.03</v>
      </c>
      <c r="N99" s="24" t="n">
        <v>50</v>
      </c>
      <c r="O99" s="5" t="str">
        <f aca="false">IF(ABS((J99-I99)-K99)&lt;=0.051,"OK","MISMATCH")</f>
        <v>OK</v>
      </c>
      <c r="P99" s="5" t="str">
        <f aca="false">IF(ABS(IF(C99="Buy",1,-1)*(J99-I99)*N99-L99)&lt;=1.01,"OK","MISMATCH")</f>
        <v>OK</v>
      </c>
    </row>
    <row r="100" customFormat="false" ht="15" hidden="false" customHeight="false" outlineLevel="0" collapsed="false">
      <c r="A100" s="5" t="n">
        <v>25</v>
      </c>
      <c r="B100" s="5" t="n">
        <v>215</v>
      </c>
      <c r="C100" s="5" t="s">
        <v>141</v>
      </c>
      <c r="D100" s="5" t="s">
        <v>144</v>
      </c>
      <c r="E100" s="5" t="n">
        <v>18900</v>
      </c>
      <c r="F100" s="27" t="n">
        <v>44980</v>
      </c>
      <c r="G100" s="28" t="n">
        <v>44935.4694444445</v>
      </c>
      <c r="H100" s="28" t="n">
        <v>44965.6361111111</v>
      </c>
      <c r="I100" s="24" t="n">
        <v>107</v>
      </c>
      <c r="J100" s="24" t="n">
        <v>3.8</v>
      </c>
      <c r="K100" s="24" t="n">
        <v>-103.2</v>
      </c>
      <c r="L100" s="24" t="n">
        <v>-5160</v>
      </c>
      <c r="M100" s="24" t="n">
        <v>0.02</v>
      </c>
      <c r="N100" s="24" t="n">
        <v>50</v>
      </c>
      <c r="O100" s="5" t="str">
        <f aca="false">IF(ABS((J100-I100)-K100)&lt;=0.051,"OK","MISMATCH")</f>
        <v>OK</v>
      </c>
      <c r="P100" s="5" t="str">
        <f aca="false">IF(ABS(IF(C100="Buy",1,-1)*(J100-I100)*N100-L100)&lt;=1.01,"OK","MISMATCH")</f>
        <v>OK</v>
      </c>
    </row>
    <row r="101" customFormat="false" ht="15" hidden="false" customHeight="false" outlineLevel="0" collapsed="false">
      <c r="A101" s="5" t="n">
        <v>25</v>
      </c>
      <c r="B101" s="5" t="n">
        <v>216</v>
      </c>
      <c r="C101" s="5" t="s">
        <v>143</v>
      </c>
      <c r="D101" s="5" t="s">
        <v>142</v>
      </c>
      <c r="E101" s="5" t="n">
        <v>17750</v>
      </c>
      <c r="F101" s="27" t="n">
        <v>44980</v>
      </c>
      <c r="G101" s="28" t="n">
        <v>44935.4694444445</v>
      </c>
      <c r="H101" s="28" t="n">
        <v>44965.6361111111</v>
      </c>
      <c r="I101" s="24" t="n">
        <v>199.9</v>
      </c>
      <c r="J101" s="24" t="n">
        <v>113.8</v>
      </c>
      <c r="K101" s="24" t="n">
        <v>-86.1</v>
      </c>
      <c r="L101" s="24" t="n">
        <v>4305</v>
      </c>
      <c r="M101" s="24" t="n">
        <v>0.36</v>
      </c>
      <c r="N101" s="24" t="n">
        <v>50</v>
      </c>
      <c r="O101" s="5" t="str">
        <f aca="false">IF(ABS((J101-I101)-K101)&lt;=0.051,"OK","MISMATCH")</f>
        <v>OK</v>
      </c>
      <c r="P101" s="5" t="str">
        <f aca="false">IF(ABS(IF(C101="Buy",1,-1)*(J101-I101)*N101-L101)&lt;=1.01,"OK","MISMATCH")</f>
        <v>OK</v>
      </c>
    </row>
    <row r="102" customFormat="false" ht="15" hidden="false" customHeight="false" outlineLevel="0" collapsed="false">
      <c r="A102" s="5" t="n">
        <v>26</v>
      </c>
      <c r="B102" s="5" t="n">
        <v>221</v>
      </c>
      <c r="C102" s="5" t="s">
        <v>143</v>
      </c>
      <c r="D102" s="5" t="s">
        <v>142</v>
      </c>
      <c r="E102" s="5" t="n">
        <v>17500</v>
      </c>
      <c r="F102" s="27" t="n">
        <v>45014</v>
      </c>
      <c r="G102" s="28" t="n">
        <v>44970.4694444445</v>
      </c>
      <c r="H102" s="28" t="n">
        <v>44991.6361111111</v>
      </c>
      <c r="I102" s="24" t="n">
        <v>157.9</v>
      </c>
      <c r="J102" s="24" t="n">
        <v>93.3</v>
      </c>
      <c r="K102" s="24" t="n">
        <v>-64.6</v>
      </c>
      <c r="L102" s="24" t="n">
        <v>3229</v>
      </c>
      <c r="M102" s="24" t="n">
        <v>0.29</v>
      </c>
      <c r="N102" s="24" t="n">
        <v>50</v>
      </c>
      <c r="O102" s="5" t="str">
        <f aca="false">IF(ABS((J102-I102)-K102)&lt;=0.051,"OK","MISMATCH")</f>
        <v>OK</v>
      </c>
      <c r="P102" s="5" t="str">
        <f aca="false">IF(ABS(IF(C102="Buy",1,-1)*(J102-I102)*N102-L102)&lt;=1.01,"OK","MISMATCH")</f>
        <v>OK</v>
      </c>
    </row>
    <row r="103" customFormat="false" ht="15" hidden="false" customHeight="false" outlineLevel="0" collapsed="false">
      <c r="A103" s="5" t="n">
        <v>26</v>
      </c>
      <c r="B103" s="5" t="n">
        <v>222</v>
      </c>
      <c r="C103" s="5" t="s">
        <v>141</v>
      </c>
      <c r="D103" s="5" t="s">
        <v>142</v>
      </c>
      <c r="E103" s="5" t="n">
        <v>17300</v>
      </c>
      <c r="F103" s="27" t="n">
        <v>45014</v>
      </c>
      <c r="G103" s="28" t="n">
        <v>44970.4694444445</v>
      </c>
      <c r="H103" s="28" t="n">
        <v>44991.6361111111</v>
      </c>
      <c r="I103" s="24" t="n">
        <v>110</v>
      </c>
      <c r="J103" s="24" t="n">
        <v>56.2</v>
      </c>
      <c r="K103" s="24" t="n">
        <v>-53.8</v>
      </c>
      <c r="L103" s="24" t="n">
        <v>-2690</v>
      </c>
      <c r="M103" s="24" t="n">
        <v>-0.19</v>
      </c>
      <c r="N103" s="24" t="n">
        <v>50</v>
      </c>
      <c r="O103" s="5" t="str">
        <f aca="false">IF(ABS((J103-I103)-K103)&lt;=0.051,"OK","MISMATCH")</f>
        <v>OK</v>
      </c>
      <c r="P103" s="5" t="str">
        <f aca="false">IF(ABS(IF(C103="Buy",1,-1)*(J103-I103)*N103-L103)&lt;=1.01,"OK","MISMATCH")</f>
        <v>OK</v>
      </c>
    </row>
    <row r="104" customFormat="false" ht="15" hidden="false" customHeight="false" outlineLevel="0" collapsed="false">
      <c r="A104" s="5" t="n">
        <v>26</v>
      </c>
      <c r="B104" s="5" t="n">
        <v>223</v>
      </c>
      <c r="C104" s="5" t="s">
        <v>143</v>
      </c>
      <c r="D104" s="5" t="s">
        <v>144</v>
      </c>
      <c r="E104" s="5" t="n">
        <v>18300</v>
      </c>
      <c r="F104" s="27" t="n">
        <v>45014</v>
      </c>
      <c r="G104" s="28" t="n">
        <v>44970.4694444445</v>
      </c>
      <c r="H104" s="28" t="n">
        <v>44991.6361111111</v>
      </c>
      <c r="I104" s="24" t="n">
        <v>132.7</v>
      </c>
      <c r="J104" s="24" t="n">
        <v>24.1</v>
      </c>
      <c r="K104" s="24" t="n">
        <v>-108.6</v>
      </c>
      <c r="L104" s="24" t="n">
        <v>5430</v>
      </c>
      <c r="M104" s="24" t="n">
        <v>-0.12</v>
      </c>
      <c r="N104" s="24" t="n">
        <v>50</v>
      </c>
      <c r="O104" s="5" t="str">
        <f aca="false">IF(ABS((J104-I104)-K104)&lt;=0.051,"OK","MISMATCH")</f>
        <v>OK</v>
      </c>
      <c r="P104" s="5" t="str">
        <f aca="false">IF(ABS(IF(C104="Buy",1,-1)*(J104-I104)*N104-L104)&lt;=1.01,"OK","MISMATCH")</f>
        <v>OK</v>
      </c>
    </row>
    <row r="105" customFormat="false" ht="15" hidden="false" customHeight="false" outlineLevel="0" collapsed="false">
      <c r="A105" s="5" t="n">
        <v>26</v>
      </c>
      <c r="B105" s="5" t="n">
        <v>224</v>
      </c>
      <c r="C105" s="5" t="s">
        <v>141</v>
      </c>
      <c r="D105" s="5" t="s">
        <v>144</v>
      </c>
      <c r="E105" s="5" t="n">
        <v>18500</v>
      </c>
      <c r="F105" s="27" t="n">
        <v>45014</v>
      </c>
      <c r="G105" s="28" t="n">
        <v>44970.4694444445</v>
      </c>
      <c r="H105" s="28" t="n">
        <v>44991.6361111111</v>
      </c>
      <c r="I105" s="24" t="n">
        <v>77.5</v>
      </c>
      <c r="J105" s="24" t="n">
        <v>10.8</v>
      </c>
      <c r="K105" s="24" t="n">
        <v>-66.7</v>
      </c>
      <c r="L105" s="24" t="n">
        <v>-3335</v>
      </c>
      <c r="M105" s="24" t="n">
        <v>0.06</v>
      </c>
      <c r="N105" s="24" t="n">
        <v>50</v>
      </c>
      <c r="O105" s="5" t="str">
        <f aca="false">IF(ABS((J105-I105)-K105)&lt;=0.051,"OK","MISMATCH")</f>
        <v>OK</v>
      </c>
      <c r="P105" s="5" t="str">
        <f aca="false">IF(ABS(IF(C105="Buy",1,-1)*(J105-I105)*N105-L105)&lt;=1.01,"OK","MISMATCH")</f>
        <v>OK</v>
      </c>
    </row>
    <row r="106" customFormat="false" ht="15" hidden="false" customHeight="false" outlineLevel="0" collapsed="false">
      <c r="A106" s="5" t="n">
        <v>27</v>
      </c>
      <c r="B106" s="5" t="n">
        <v>229</v>
      </c>
      <c r="C106" s="5" t="s">
        <v>143</v>
      </c>
      <c r="D106" s="5" t="s">
        <v>142</v>
      </c>
      <c r="E106" s="5" t="n">
        <v>17100</v>
      </c>
      <c r="F106" s="27" t="n">
        <v>45043</v>
      </c>
      <c r="G106" s="28" t="n">
        <v>44998.4694444445</v>
      </c>
      <c r="H106" s="28" t="n">
        <v>45028.6361111111</v>
      </c>
      <c r="I106" s="24" t="n">
        <v>162</v>
      </c>
      <c r="J106" s="24" t="n">
        <v>17.3</v>
      </c>
      <c r="K106" s="24" t="n">
        <v>-144.7</v>
      </c>
      <c r="L106" s="24" t="n">
        <v>7234</v>
      </c>
      <c r="M106" s="24" t="n">
        <v>0.07</v>
      </c>
      <c r="N106" s="24" t="n">
        <v>50</v>
      </c>
      <c r="O106" s="5" t="str">
        <f aca="false">IF(ABS((J106-I106)-K106)&lt;=0.051,"OK","MISMATCH")</f>
        <v>OK</v>
      </c>
      <c r="P106" s="5" t="str">
        <f aca="false">IF(ABS(IF(C106="Buy",1,-1)*(J106-I106)*N106-L106)&lt;=1.01,"OK","MISMATCH")</f>
        <v>OK</v>
      </c>
    </row>
    <row r="107" customFormat="false" ht="15" hidden="false" customHeight="false" outlineLevel="0" collapsed="false">
      <c r="A107" s="5" t="n">
        <v>27</v>
      </c>
      <c r="B107" s="5" t="n">
        <v>230</v>
      </c>
      <c r="C107" s="5" t="s">
        <v>141</v>
      </c>
      <c r="D107" s="5" t="s">
        <v>142</v>
      </c>
      <c r="E107" s="5" t="n">
        <v>16900</v>
      </c>
      <c r="F107" s="27" t="n">
        <v>45043</v>
      </c>
      <c r="G107" s="28" t="n">
        <v>44998.4694444445</v>
      </c>
      <c r="H107" s="28" t="n">
        <v>45028.6361111111</v>
      </c>
      <c r="I107" s="24" t="n">
        <v>117.2</v>
      </c>
      <c r="J107" s="24" t="n">
        <v>12.8</v>
      </c>
      <c r="K107" s="24" t="n">
        <v>-104.4</v>
      </c>
      <c r="L107" s="24" t="n">
        <v>-5220</v>
      </c>
      <c r="M107" s="24" t="n">
        <v>-0.05</v>
      </c>
      <c r="N107" s="24" t="n">
        <v>50</v>
      </c>
      <c r="O107" s="5" t="str">
        <f aca="false">IF(ABS((J107-I107)-K107)&lt;=0.051,"OK","MISMATCH")</f>
        <v>OK</v>
      </c>
      <c r="P107" s="5" t="str">
        <f aca="false">IF(ABS(IF(C107="Buy",1,-1)*(J107-I107)*N107-L107)&lt;=1.01,"OK","MISMATCH")</f>
        <v>OK</v>
      </c>
    </row>
    <row r="108" customFormat="false" ht="15" hidden="false" customHeight="false" outlineLevel="0" collapsed="false">
      <c r="A108" s="5" t="n">
        <v>27</v>
      </c>
      <c r="B108" s="5" t="n">
        <v>231</v>
      </c>
      <c r="C108" s="5" t="s">
        <v>143</v>
      </c>
      <c r="D108" s="5" t="s">
        <v>144</v>
      </c>
      <c r="E108" s="5" t="n">
        <v>17900</v>
      </c>
      <c r="F108" s="27" t="n">
        <v>45043</v>
      </c>
      <c r="G108" s="28" t="n">
        <v>44998.4694444445</v>
      </c>
      <c r="H108" s="28" t="n">
        <v>45028.6361111111</v>
      </c>
      <c r="I108" s="24" t="n">
        <v>148.9</v>
      </c>
      <c r="J108" s="24" t="n">
        <v>123.8</v>
      </c>
      <c r="K108" s="24" t="n">
        <v>-25.1</v>
      </c>
      <c r="L108" s="24" t="n">
        <v>1255</v>
      </c>
      <c r="M108" s="24" t="n">
        <v>-0.46</v>
      </c>
      <c r="N108" s="24" t="n">
        <v>50</v>
      </c>
      <c r="O108" s="5" t="str">
        <f aca="false">IF(ABS((J108-I108)-K108)&lt;=0.051,"OK","MISMATCH")</f>
        <v>OK</v>
      </c>
      <c r="P108" s="5" t="str">
        <f aca="false">IF(ABS(IF(C108="Buy",1,-1)*(J108-I108)*N108-L108)&lt;=1.01,"OK","MISMATCH")</f>
        <v>OK</v>
      </c>
    </row>
    <row r="109" customFormat="false" ht="15" hidden="false" customHeight="false" outlineLevel="0" collapsed="false">
      <c r="A109" s="5" t="n">
        <v>27</v>
      </c>
      <c r="B109" s="5" t="n">
        <v>232</v>
      </c>
      <c r="C109" s="5" t="s">
        <v>141</v>
      </c>
      <c r="D109" s="5" t="s">
        <v>144</v>
      </c>
      <c r="E109" s="5" t="n">
        <v>18100</v>
      </c>
      <c r="F109" s="27" t="n">
        <v>45043</v>
      </c>
      <c r="G109" s="28" t="n">
        <v>44998.4694444445</v>
      </c>
      <c r="H109" s="28" t="n">
        <v>45028.6361111111</v>
      </c>
      <c r="I109" s="24" t="n">
        <v>91.5</v>
      </c>
      <c r="J109" s="24" t="n">
        <v>48</v>
      </c>
      <c r="K109" s="24" t="n">
        <v>-43.5</v>
      </c>
      <c r="L109" s="24" t="n">
        <v>-2175</v>
      </c>
      <c r="M109" s="24" t="n">
        <v>0.24</v>
      </c>
      <c r="N109" s="24" t="n">
        <v>50</v>
      </c>
      <c r="O109" s="5" t="str">
        <f aca="false">IF(ABS((J109-I109)-K109)&lt;=0.051,"OK","MISMATCH")</f>
        <v>OK</v>
      </c>
      <c r="P109" s="5" t="str">
        <f aca="false">IF(ABS(IF(C109="Buy",1,-1)*(J109-I109)*N109-L109)&lt;=1.01,"OK","MISMATCH")</f>
        <v>OK</v>
      </c>
    </row>
    <row r="110" customFormat="false" ht="15" hidden="false" customHeight="false" outlineLevel="0" collapsed="false">
      <c r="A110" s="5" t="n">
        <v>28</v>
      </c>
      <c r="B110" s="5" t="n">
        <v>237</v>
      </c>
      <c r="C110" s="5" t="s">
        <v>143</v>
      </c>
      <c r="D110" s="5" t="s">
        <v>142</v>
      </c>
      <c r="E110" s="5" t="n">
        <v>17300</v>
      </c>
      <c r="F110" s="27" t="n">
        <v>45071</v>
      </c>
      <c r="G110" s="28" t="n">
        <v>45026.4694444445</v>
      </c>
      <c r="H110" s="28" t="n">
        <v>45056.6361111111</v>
      </c>
      <c r="I110" s="24" t="n">
        <v>139.8</v>
      </c>
      <c r="J110" s="24" t="n">
        <v>10.7</v>
      </c>
      <c r="K110" s="24" t="n">
        <v>-129.1</v>
      </c>
      <c r="L110" s="24" t="n">
        <v>6455</v>
      </c>
      <c r="M110" s="24" t="n">
        <v>0.04</v>
      </c>
      <c r="N110" s="24" t="n">
        <v>50</v>
      </c>
      <c r="O110" s="5" t="str">
        <f aca="false">IF(ABS((J110-I110)-K110)&lt;=0.051,"OK","MISMATCH")</f>
        <v>OK</v>
      </c>
      <c r="P110" s="5" t="str">
        <f aca="false">IF(ABS(IF(C110="Buy",1,-1)*(J110-I110)*N110-L110)&lt;=1.01,"OK","MISMATCH")</f>
        <v>OK</v>
      </c>
    </row>
    <row r="111" customFormat="false" ht="15" hidden="false" customHeight="false" outlineLevel="0" collapsed="false">
      <c r="A111" s="5" t="n">
        <v>28</v>
      </c>
      <c r="B111" s="5" t="n">
        <v>238</v>
      </c>
      <c r="C111" s="5" t="s">
        <v>141</v>
      </c>
      <c r="D111" s="5" t="s">
        <v>142</v>
      </c>
      <c r="E111" s="5" t="n">
        <v>17100</v>
      </c>
      <c r="F111" s="27" t="n">
        <v>45071</v>
      </c>
      <c r="G111" s="28" t="n">
        <v>45026.4694444445</v>
      </c>
      <c r="H111" s="28" t="n">
        <v>45056.6361111111</v>
      </c>
      <c r="I111" s="24" t="n">
        <v>102.3</v>
      </c>
      <c r="J111" s="24" t="n">
        <v>8.1</v>
      </c>
      <c r="K111" s="24" t="n">
        <v>-94.2</v>
      </c>
      <c r="L111" s="24" t="n">
        <v>-4710</v>
      </c>
      <c r="M111" s="24" t="n">
        <v>-0.03</v>
      </c>
      <c r="N111" s="24" t="n">
        <v>50</v>
      </c>
      <c r="O111" s="5" t="str">
        <f aca="false">IF(ABS((J111-I111)-K111)&lt;=0.051,"OK","MISMATCH")</f>
        <v>OK</v>
      </c>
      <c r="P111" s="5" t="str">
        <f aca="false">IF(ABS(IF(C111="Buy",1,-1)*(J111-I111)*N111-L111)&lt;=1.01,"OK","MISMATCH")</f>
        <v>OK</v>
      </c>
    </row>
    <row r="112" customFormat="false" ht="15" hidden="false" customHeight="false" outlineLevel="0" collapsed="false">
      <c r="A112" s="5" t="n">
        <v>28</v>
      </c>
      <c r="B112" s="5" t="n">
        <v>239</v>
      </c>
      <c r="C112" s="5" t="s">
        <v>143</v>
      </c>
      <c r="D112" s="5" t="s">
        <v>144</v>
      </c>
      <c r="E112" s="5" t="n">
        <v>18100</v>
      </c>
      <c r="F112" s="27" t="n">
        <v>45071</v>
      </c>
      <c r="G112" s="28" t="n">
        <v>45026.4694444445</v>
      </c>
      <c r="H112" s="28" t="n">
        <v>45056.6361111111</v>
      </c>
      <c r="I112" s="24" t="n">
        <v>124.9</v>
      </c>
      <c r="J112" s="24" t="n">
        <v>316.9</v>
      </c>
      <c r="K112" s="24" t="n">
        <v>192</v>
      </c>
      <c r="L112" s="24" t="n">
        <v>-9600</v>
      </c>
      <c r="M112" s="24" t="n">
        <v>-0.73</v>
      </c>
      <c r="N112" s="24" t="n">
        <v>50</v>
      </c>
      <c r="O112" s="5" t="str">
        <f aca="false">IF(ABS((J112-I112)-K112)&lt;=0.051,"OK","MISMATCH")</f>
        <v>OK</v>
      </c>
      <c r="P112" s="5" t="str">
        <f aca="false">IF(ABS(IF(C112="Buy",1,-1)*(J112-I112)*N112-L112)&lt;=1.01,"OK","MISMATCH")</f>
        <v>OK</v>
      </c>
    </row>
    <row r="113" customFormat="false" ht="15" hidden="false" customHeight="false" outlineLevel="0" collapsed="false">
      <c r="A113" s="5" t="n">
        <v>28</v>
      </c>
      <c r="B113" s="5" t="n">
        <v>240</v>
      </c>
      <c r="C113" s="5" t="s">
        <v>141</v>
      </c>
      <c r="D113" s="5" t="s">
        <v>144</v>
      </c>
      <c r="E113" s="5" t="n">
        <v>18300</v>
      </c>
      <c r="F113" s="27" t="n">
        <v>45071</v>
      </c>
      <c r="G113" s="28" t="n">
        <v>45026.4694444445</v>
      </c>
      <c r="H113" s="28" t="n">
        <v>45056.6361111111</v>
      </c>
      <c r="I113" s="24" t="n">
        <v>70.85</v>
      </c>
      <c r="J113" s="24" t="n">
        <v>179.8</v>
      </c>
      <c r="K113" s="24" t="n">
        <v>108.95</v>
      </c>
      <c r="L113" s="24" t="n">
        <v>5447</v>
      </c>
      <c r="M113" s="24" t="n">
        <v>0.55</v>
      </c>
      <c r="N113" s="24" t="n">
        <v>50</v>
      </c>
      <c r="O113" s="5" t="str">
        <f aca="false">IF(ABS((J113-I113)-K113)&lt;=0.051,"OK","MISMATCH")</f>
        <v>OK</v>
      </c>
      <c r="P113" s="5" t="str">
        <f aca="false">IF(ABS(IF(C113="Buy",1,-1)*(J113-I113)*N113-L113)&lt;=1.01,"OK","MISMATCH")</f>
        <v>OK</v>
      </c>
    </row>
    <row r="114" customFormat="false" ht="15" hidden="false" customHeight="false" outlineLevel="0" collapsed="false">
      <c r="A114" s="5" t="n">
        <v>29</v>
      </c>
      <c r="B114" s="5" t="n">
        <v>245</v>
      </c>
      <c r="C114" s="5" t="s">
        <v>143</v>
      </c>
      <c r="D114" s="5" t="s">
        <v>142</v>
      </c>
      <c r="E114" s="5" t="n">
        <v>18050</v>
      </c>
      <c r="F114" s="27" t="n">
        <v>45105</v>
      </c>
      <c r="G114" s="28" t="n">
        <v>45061.4694444445</v>
      </c>
      <c r="H114" s="28" t="n">
        <v>45090.6361111111</v>
      </c>
      <c r="I114" s="24" t="n">
        <v>162.5</v>
      </c>
      <c r="J114" s="24" t="n">
        <v>16.6</v>
      </c>
      <c r="K114" s="24" t="n">
        <v>-145.9</v>
      </c>
      <c r="L114" s="24" t="n">
        <v>7295</v>
      </c>
      <c r="M114" s="24" t="n">
        <v>0.07</v>
      </c>
      <c r="N114" s="24" t="n">
        <v>50</v>
      </c>
      <c r="O114" s="5" t="str">
        <f aca="false">IF(ABS((J114-I114)-K114)&lt;=0.051,"OK","MISMATCH")</f>
        <v>OK</v>
      </c>
      <c r="P114" s="5" t="str">
        <f aca="false">IF(ABS(IF(C114="Buy",1,-1)*(J114-I114)*N114-L114)&lt;=1.01,"OK","MISMATCH")</f>
        <v>OK</v>
      </c>
    </row>
    <row r="115" customFormat="false" ht="15" hidden="false" customHeight="false" outlineLevel="0" collapsed="false">
      <c r="A115" s="5" t="n">
        <v>29</v>
      </c>
      <c r="B115" s="5" t="n">
        <v>246</v>
      </c>
      <c r="C115" s="5" t="s">
        <v>141</v>
      </c>
      <c r="D115" s="5" t="s">
        <v>142</v>
      </c>
      <c r="E115" s="5" t="n">
        <v>17850</v>
      </c>
      <c r="F115" s="27" t="n">
        <v>45105</v>
      </c>
      <c r="G115" s="28" t="n">
        <v>45061.4694444445</v>
      </c>
      <c r="H115" s="28" t="n">
        <v>45090.6361111111</v>
      </c>
      <c r="I115" s="24" t="n">
        <v>114.8</v>
      </c>
      <c r="J115" s="24" t="n">
        <v>11.15</v>
      </c>
      <c r="K115" s="24" t="n">
        <v>-103.65</v>
      </c>
      <c r="L115" s="24" t="n">
        <v>-5182</v>
      </c>
      <c r="M115" s="24" t="n">
        <v>-0.05</v>
      </c>
      <c r="N115" s="24" t="n">
        <v>50</v>
      </c>
      <c r="O115" s="5" t="str">
        <f aca="false">IF(ABS((J115-I115)-K115)&lt;=0.051,"OK","MISMATCH")</f>
        <v>OK</v>
      </c>
      <c r="P115" s="5" t="str">
        <f aca="false">IF(ABS(IF(C115="Buy",1,-1)*(J115-I115)*N115-L115)&lt;=1.01,"OK","MISMATCH")</f>
        <v>OK</v>
      </c>
    </row>
    <row r="116" customFormat="false" ht="15" hidden="false" customHeight="false" outlineLevel="0" collapsed="false">
      <c r="A116" s="5" t="n">
        <v>29</v>
      </c>
      <c r="B116" s="5" t="n">
        <v>247</v>
      </c>
      <c r="C116" s="5" t="s">
        <v>143</v>
      </c>
      <c r="D116" s="5" t="s">
        <v>144</v>
      </c>
      <c r="E116" s="5" t="n">
        <v>18800</v>
      </c>
      <c r="F116" s="27" t="n">
        <v>45105</v>
      </c>
      <c r="G116" s="28" t="n">
        <v>45061.4694444445</v>
      </c>
      <c r="H116" s="28" t="n">
        <v>45090.6361111111</v>
      </c>
      <c r="I116" s="24" t="n">
        <v>144</v>
      </c>
      <c r="J116" s="24" t="n">
        <v>131.6</v>
      </c>
      <c r="K116" s="24" t="n">
        <v>-12.4</v>
      </c>
      <c r="L116" s="24" t="n">
        <v>620</v>
      </c>
      <c r="M116" s="24" t="n">
        <v>-0.48</v>
      </c>
      <c r="N116" s="24" t="n">
        <v>50</v>
      </c>
      <c r="O116" s="5" t="str">
        <f aca="false">IF(ABS((J116-I116)-K116)&lt;=0.051,"OK","MISMATCH")</f>
        <v>OK</v>
      </c>
      <c r="P116" s="5" t="str">
        <f aca="false">IF(ABS(IF(C116="Buy",1,-1)*(J116-I116)*N116-L116)&lt;=1.01,"OK","MISMATCH")</f>
        <v>OK</v>
      </c>
    </row>
    <row r="117" customFormat="false" ht="15" hidden="false" customHeight="false" outlineLevel="0" collapsed="false">
      <c r="A117" s="5" t="n">
        <v>29</v>
      </c>
      <c r="B117" s="5" t="n">
        <v>248</v>
      </c>
      <c r="C117" s="5" t="s">
        <v>141</v>
      </c>
      <c r="D117" s="5" t="s">
        <v>144</v>
      </c>
      <c r="E117" s="5" t="n">
        <v>19000</v>
      </c>
      <c r="F117" s="27" t="n">
        <v>45105</v>
      </c>
      <c r="G117" s="28" t="n">
        <v>45061.4694444445</v>
      </c>
      <c r="H117" s="28" t="n">
        <v>45090.6361111111</v>
      </c>
      <c r="I117" s="24" t="n">
        <v>85.3</v>
      </c>
      <c r="J117" s="24" t="n">
        <v>51.2</v>
      </c>
      <c r="K117" s="24" t="n">
        <v>-34.1</v>
      </c>
      <c r="L117" s="24" t="n">
        <v>-1705</v>
      </c>
      <c r="M117" s="24" t="n">
        <v>0.26</v>
      </c>
      <c r="N117" s="24" t="n">
        <v>50</v>
      </c>
      <c r="O117" s="5" t="str">
        <f aca="false">IF(ABS((J117-I117)-K117)&lt;=0.051,"OK","MISMATCH")</f>
        <v>OK</v>
      </c>
      <c r="P117" s="5" t="str">
        <f aca="false">IF(ABS(IF(C117="Buy",1,-1)*(J117-I117)*N117-L117)&lt;=1.01,"OK","MISMATCH")</f>
        <v>OK</v>
      </c>
    </row>
    <row r="118" customFormat="false" ht="15" hidden="false" customHeight="false" outlineLevel="0" collapsed="false">
      <c r="A118" s="5" t="n">
        <v>30</v>
      </c>
      <c r="B118" s="5" t="n">
        <v>253</v>
      </c>
      <c r="C118" s="5" t="s">
        <v>143</v>
      </c>
      <c r="D118" s="5" t="s">
        <v>142</v>
      </c>
      <c r="E118" s="5" t="n">
        <v>18400</v>
      </c>
      <c r="F118" s="27" t="n">
        <v>45134</v>
      </c>
      <c r="G118" s="28" t="n">
        <v>45089.4694444445</v>
      </c>
      <c r="H118" s="28" t="n">
        <v>45119.6361111111</v>
      </c>
      <c r="I118" s="24" t="n">
        <v>143</v>
      </c>
      <c r="J118" s="24" t="n">
        <v>8.3</v>
      </c>
      <c r="K118" s="24" t="n">
        <v>-134.7</v>
      </c>
      <c r="L118" s="24" t="n">
        <v>6734</v>
      </c>
      <c r="M118" s="24" t="n">
        <v>0.03</v>
      </c>
      <c r="N118" s="24" t="n">
        <v>50</v>
      </c>
      <c r="O118" s="5" t="str">
        <f aca="false">IF(ABS((J118-I118)-K118)&lt;=0.051,"OK","MISMATCH")</f>
        <v>OK</v>
      </c>
      <c r="P118" s="5" t="str">
        <f aca="false">IF(ABS(IF(C118="Buy",1,-1)*(J118-I118)*N118-L118)&lt;=1.01,"OK","MISMATCH")</f>
        <v>OK</v>
      </c>
    </row>
    <row r="119" customFormat="false" ht="15" hidden="false" customHeight="false" outlineLevel="0" collapsed="false">
      <c r="A119" s="5" t="n">
        <v>30</v>
      </c>
      <c r="B119" s="5" t="n">
        <v>254</v>
      </c>
      <c r="C119" s="5" t="s">
        <v>141</v>
      </c>
      <c r="D119" s="5" t="s">
        <v>142</v>
      </c>
      <c r="E119" s="5" t="n">
        <v>18200</v>
      </c>
      <c r="F119" s="27" t="n">
        <v>45134</v>
      </c>
      <c r="G119" s="28" t="n">
        <v>45089.4694444445</v>
      </c>
      <c r="H119" s="28" t="n">
        <v>45119.6361111111</v>
      </c>
      <c r="I119" s="24" t="n">
        <v>96.4</v>
      </c>
      <c r="J119" s="24" t="n">
        <v>5.8</v>
      </c>
      <c r="K119" s="24" t="n">
        <v>-90.6</v>
      </c>
      <c r="L119" s="24" t="n">
        <v>-4530</v>
      </c>
      <c r="M119" s="24" t="n">
        <v>-0.02</v>
      </c>
      <c r="N119" s="24" t="n">
        <v>50</v>
      </c>
      <c r="O119" s="5" t="str">
        <f aca="false">IF(ABS((J119-I119)-K119)&lt;=0.051,"OK","MISMATCH")</f>
        <v>OK</v>
      </c>
      <c r="P119" s="5" t="str">
        <f aca="false">IF(ABS(IF(C119="Buy",1,-1)*(J119-I119)*N119-L119)&lt;=1.01,"OK","MISMATCH")</f>
        <v>OK</v>
      </c>
    </row>
    <row r="120" customFormat="false" ht="15" hidden="false" customHeight="false" outlineLevel="0" collapsed="false">
      <c r="A120" s="5" t="n">
        <v>30</v>
      </c>
      <c r="B120" s="5" t="n">
        <v>255</v>
      </c>
      <c r="C120" s="5" t="s">
        <v>143</v>
      </c>
      <c r="D120" s="5" t="s">
        <v>144</v>
      </c>
      <c r="E120" s="5" t="n">
        <v>19100</v>
      </c>
      <c r="F120" s="27" t="n">
        <v>45134</v>
      </c>
      <c r="G120" s="28" t="n">
        <v>45089.4694444445</v>
      </c>
      <c r="H120" s="28" t="n">
        <v>45119.6361111111</v>
      </c>
      <c r="I120" s="24" t="n">
        <v>120.7</v>
      </c>
      <c r="J120" s="24" t="n">
        <v>403.3</v>
      </c>
      <c r="K120" s="24" t="n">
        <v>282.6</v>
      </c>
      <c r="L120" s="24" t="n">
        <v>-14130</v>
      </c>
      <c r="M120" s="24" t="n">
        <v>-0.81</v>
      </c>
      <c r="N120" s="24" t="n">
        <v>50</v>
      </c>
      <c r="O120" s="5" t="str">
        <f aca="false">IF(ABS((J120-I120)-K120)&lt;=0.051,"OK","MISMATCH")</f>
        <v>OK</v>
      </c>
      <c r="P120" s="5" t="str">
        <f aca="false">IF(ABS(IF(C120="Buy",1,-1)*(J120-I120)*N120-L120)&lt;=1.01,"OK","MISMATCH")</f>
        <v>OK</v>
      </c>
    </row>
    <row r="121" customFormat="false" ht="15" hidden="false" customHeight="false" outlineLevel="0" collapsed="false">
      <c r="A121" s="5" t="n">
        <v>30</v>
      </c>
      <c r="B121" s="5" t="n">
        <v>256</v>
      </c>
      <c r="C121" s="5" t="s">
        <v>141</v>
      </c>
      <c r="D121" s="5" t="s">
        <v>144</v>
      </c>
      <c r="E121" s="5" t="n">
        <v>19300</v>
      </c>
      <c r="F121" s="27" t="n">
        <v>45134</v>
      </c>
      <c r="G121" s="28" t="n">
        <v>45089.4694444445</v>
      </c>
      <c r="H121" s="28" t="n">
        <v>45119.6361111111</v>
      </c>
      <c r="I121" s="24" t="n">
        <v>63.1</v>
      </c>
      <c r="J121" s="24" t="n">
        <v>246.9</v>
      </c>
      <c r="K121" s="24" t="n">
        <v>183.8</v>
      </c>
      <c r="L121" s="24" t="n">
        <v>9190</v>
      </c>
      <c r="M121" s="24" t="n">
        <v>0.66</v>
      </c>
      <c r="N121" s="24" t="n">
        <v>50</v>
      </c>
      <c r="O121" s="5" t="str">
        <f aca="false">IF(ABS((J121-I121)-K121)&lt;=0.051,"OK","MISMATCH")</f>
        <v>OK</v>
      </c>
      <c r="P121" s="5" t="str">
        <f aca="false">IF(ABS(IF(C121="Buy",1,-1)*(J121-I121)*N121-L121)&lt;=1.01,"OK","MISMATCH")</f>
        <v>OK</v>
      </c>
    </row>
    <row r="122" customFormat="false" ht="15" hidden="false" customHeight="false" outlineLevel="0" collapsed="false">
      <c r="A122" s="5" t="n">
        <v>31</v>
      </c>
      <c r="B122" s="5" t="n">
        <v>261</v>
      </c>
      <c r="C122" s="5" t="s">
        <v>141</v>
      </c>
      <c r="D122" s="5" t="s">
        <v>142</v>
      </c>
      <c r="E122" s="5" t="n">
        <v>19150</v>
      </c>
      <c r="F122" s="27" t="n">
        <v>45169</v>
      </c>
      <c r="G122" s="28" t="n">
        <v>45124.4694444445</v>
      </c>
      <c r="H122" s="28" t="n">
        <v>45147.6361111111</v>
      </c>
      <c r="I122" s="24" t="n">
        <v>103</v>
      </c>
      <c r="J122" s="24" t="n">
        <v>36.5</v>
      </c>
      <c r="K122" s="24" t="n">
        <v>-66.5</v>
      </c>
      <c r="L122" s="24" t="n">
        <v>-3325</v>
      </c>
      <c r="M122" s="24" t="n">
        <v>-0.14</v>
      </c>
      <c r="N122" s="24" t="n">
        <v>50</v>
      </c>
      <c r="O122" s="5" t="str">
        <f aca="false">IF(ABS((J122-I122)-K122)&lt;=0.051,"OK","MISMATCH")</f>
        <v>OK</v>
      </c>
      <c r="P122" s="5" t="str">
        <f aca="false">IF(ABS(IF(C122="Buy",1,-1)*(J122-I122)*N122-L122)&lt;=1.01,"OK","MISMATCH")</f>
        <v>OK</v>
      </c>
    </row>
    <row r="123" customFormat="false" ht="15" hidden="false" customHeight="false" outlineLevel="0" collapsed="false">
      <c r="A123" s="5" t="n">
        <v>31</v>
      </c>
      <c r="B123" s="5" t="n">
        <v>262</v>
      </c>
      <c r="C123" s="5" t="s">
        <v>143</v>
      </c>
      <c r="D123" s="5" t="s">
        <v>144</v>
      </c>
      <c r="E123" s="5" t="n">
        <v>20100</v>
      </c>
      <c r="F123" s="27" t="n">
        <v>45169</v>
      </c>
      <c r="G123" s="28" t="n">
        <v>45124.4694444445</v>
      </c>
      <c r="H123" s="28" t="n">
        <v>45147.6361111111</v>
      </c>
      <c r="I123" s="24" t="n">
        <v>129.1</v>
      </c>
      <c r="J123" s="24" t="n">
        <v>37.5</v>
      </c>
      <c r="K123" s="24" t="n">
        <v>-91.6</v>
      </c>
      <c r="L123" s="24" t="n">
        <v>4580</v>
      </c>
      <c r="M123" s="24" t="n">
        <v>-0.17</v>
      </c>
      <c r="N123" s="24" t="n">
        <v>50</v>
      </c>
      <c r="O123" s="5" t="str">
        <f aca="false">IF(ABS((J123-I123)-K123)&lt;=0.051,"OK","MISMATCH")</f>
        <v>OK</v>
      </c>
      <c r="P123" s="5" t="str">
        <f aca="false">IF(ABS(IF(C123="Buy",1,-1)*(J123-I123)*N123-L123)&lt;=1.01,"OK","MISMATCH")</f>
        <v>OK</v>
      </c>
    </row>
    <row r="124" customFormat="false" ht="15" hidden="false" customHeight="false" outlineLevel="0" collapsed="false">
      <c r="A124" s="5" t="n">
        <v>31</v>
      </c>
      <c r="B124" s="5" t="n">
        <v>263</v>
      </c>
      <c r="C124" s="5" t="s">
        <v>141</v>
      </c>
      <c r="D124" s="5" t="s">
        <v>144</v>
      </c>
      <c r="E124" s="5" t="n">
        <v>20300</v>
      </c>
      <c r="F124" s="27" t="n">
        <v>45169</v>
      </c>
      <c r="G124" s="28" t="n">
        <v>45124.4694444445</v>
      </c>
      <c r="H124" s="28" t="n">
        <v>45147.6361111111</v>
      </c>
      <c r="I124" s="24" t="n">
        <v>72.3</v>
      </c>
      <c r="J124" s="24" t="n">
        <v>17.3</v>
      </c>
      <c r="K124" s="24" t="n">
        <v>-55</v>
      </c>
      <c r="L124" s="24" t="n">
        <v>-2750</v>
      </c>
      <c r="M124" s="24" t="n">
        <v>0.09</v>
      </c>
      <c r="N124" s="24" t="n">
        <v>50</v>
      </c>
      <c r="O124" s="5" t="str">
        <f aca="false">IF(ABS((J124-I124)-K124)&lt;=0.051,"OK","MISMATCH")</f>
        <v>OK</v>
      </c>
      <c r="P124" s="5" t="str">
        <f aca="false">IF(ABS(IF(C124="Buy",1,-1)*(J124-I124)*N124-L124)&lt;=1.01,"OK","MISMATCH")</f>
        <v>OK</v>
      </c>
    </row>
    <row r="125" customFormat="false" ht="15" hidden="false" customHeight="false" outlineLevel="0" collapsed="false">
      <c r="A125" s="5" t="n">
        <v>31</v>
      </c>
      <c r="B125" s="5" t="n">
        <v>264</v>
      </c>
      <c r="C125" s="5" t="s">
        <v>143</v>
      </c>
      <c r="D125" s="5" t="s">
        <v>142</v>
      </c>
      <c r="E125" s="5" t="n">
        <v>19350</v>
      </c>
      <c r="F125" s="27" t="n">
        <v>45169</v>
      </c>
      <c r="G125" s="28" t="n">
        <v>45124.4694444445</v>
      </c>
      <c r="H125" s="28" t="n">
        <v>45147.6361111111</v>
      </c>
      <c r="I125" s="24" t="n">
        <v>147.7</v>
      </c>
      <c r="J125" s="24" t="n">
        <v>66.7</v>
      </c>
      <c r="K125" s="24" t="n">
        <v>-81</v>
      </c>
      <c r="L125" s="24" t="n">
        <v>4050</v>
      </c>
      <c r="M125" s="24" t="n">
        <v>0.23</v>
      </c>
      <c r="N125" s="24" t="n">
        <v>50</v>
      </c>
      <c r="O125" s="5" t="str">
        <f aca="false">IF(ABS((J125-I125)-K125)&lt;=0.051,"OK","MISMATCH")</f>
        <v>OK</v>
      </c>
      <c r="P125" s="5" t="str">
        <f aca="false">IF(ABS(IF(C125="Buy",1,-1)*(J125-I125)*N125-L125)&lt;=1.01,"OK","MISMATCH")</f>
        <v>OK</v>
      </c>
    </row>
    <row r="126" customFormat="false" ht="15" hidden="false" customHeight="false" outlineLevel="0" collapsed="false">
      <c r="A126" s="5" t="n">
        <v>32</v>
      </c>
      <c r="B126" s="5" t="n">
        <v>269</v>
      </c>
      <c r="C126" s="5" t="s">
        <v>143</v>
      </c>
      <c r="D126" s="5" t="s">
        <v>142</v>
      </c>
      <c r="E126" s="5" t="n">
        <v>19100</v>
      </c>
      <c r="F126" s="27" t="n">
        <v>45197</v>
      </c>
      <c r="G126" s="28" t="n">
        <v>45152.4694444445</v>
      </c>
      <c r="H126" s="28" t="n">
        <v>45182.6361111111</v>
      </c>
      <c r="I126" s="24" t="n">
        <v>164.6</v>
      </c>
      <c r="J126" s="24" t="n">
        <v>20.3</v>
      </c>
      <c r="K126" s="24" t="n">
        <v>-144.3</v>
      </c>
      <c r="L126" s="24" t="n">
        <v>7215</v>
      </c>
      <c r="M126" s="24" t="n">
        <v>0.07</v>
      </c>
      <c r="N126" s="24" t="n">
        <v>50</v>
      </c>
      <c r="O126" s="5" t="str">
        <f aca="false">IF(ABS((J126-I126)-K126)&lt;=0.051,"OK","MISMATCH")</f>
        <v>OK</v>
      </c>
      <c r="P126" s="5" t="str">
        <f aca="false">IF(ABS(IF(C126="Buy",1,-1)*(J126-I126)*N126-L126)&lt;=1.01,"OK","MISMATCH")</f>
        <v>OK</v>
      </c>
    </row>
    <row r="127" customFormat="false" ht="15" hidden="false" customHeight="false" outlineLevel="0" collapsed="false">
      <c r="A127" s="5" t="n">
        <v>32</v>
      </c>
      <c r="B127" s="5" t="n">
        <v>270</v>
      </c>
      <c r="C127" s="5" t="s">
        <v>141</v>
      </c>
      <c r="D127" s="5" t="s">
        <v>142</v>
      </c>
      <c r="E127" s="5" t="n">
        <v>18900</v>
      </c>
      <c r="F127" s="27" t="n">
        <v>45197</v>
      </c>
      <c r="G127" s="28" t="n">
        <v>45152.4694444445</v>
      </c>
      <c r="H127" s="28" t="n">
        <v>45182.6361111111</v>
      </c>
      <c r="I127" s="24" t="n">
        <v>112.8</v>
      </c>
      <c r="J127" s="24" t="n">
        <v>15.3</v>
      </c>
      <c r="K127" s="24" t="n">
        <v>-97.5</v>
      </c>
      <c r="L127" s="24" t="n">
        <v>-4875</v>
      </c>
      <c r="M127" s="24" t="n">
        <v>-0.05</v>
      </c>
      <c r="N127" s="24" t="n">
        <v>50</v>
      </c>
      <c r="O127" s="5" t="str">
        <f aca="false">IF(ABS((J127-I127)-K127)&lt;=0.051,"OK","MISMATCH")</f>
        <v>OK</v>
      </c>
      <c r="P127" s="5" t="str">
        <f aca="false">IF(ABS(IF(C127="Buy",1,-1)*(J127-I127)*N127-L127)&lt;=1.01,"OK","MISMATCH")</f>
        <v>OK</v>
      </c>
    </row>
    <row r="128" customFormat="false" ht="15" hidden="false" customHeight="false" outlineLevel="0" collapsed="false">
      <c r="A128" s="5" t="n">
        <v>32</v>
      </c>
      <c r="B128" s="5" t="n">
        <v>271</v>
      </c>
      <c r="C128" s="5" t="s">
        <v>143</v>
      </c>
      <c r="D128" s="5" t="s">
        <v>144</v>
      </c>
      <c r="E128" s="5" t="n">
        <v>19800</v>
      </c>
      <c r="F128" s="27" t="n">
        <v>45197</v>
      </c>
      <c r="G128" s="28" t="n">
        <v>45152.4694444445</v>
      </c>
      <c r="H128" s="28" t="n">
        <v>45182.6361111111</v>
      </c>
      <c r="I128" s="24" t="n">
        <v>151.7</v>
      </c>
      <c r="J128" s="24" t="n">
        <v>388</v>
      </c>
      <c r="K128" s="24" t="n">
        <v>236.3</v>
      </c>
      <c r="L128" s="24" t="n">
        <v>-11815</v>
      </c>
      <c r="M128" s="24" t="n">
        <v>-0.76</v>
      </c>
      <c r="N128" s="24" t="n">
        <v>50</v>
      </c>
      <c r="O128" s="5" t="str">
        <f aca="false">IF(ABS((J128-I128)-K128)&lt;=0.051,"OK","MISMATCH")</f>
        <v>OK</v>
      </c>
      <c r="P128" s="5" t="str">
        <f aca="false">IF(ABS(IF(C128="Buy",1,-1)*(J128-I128)*N128-L128)&lt;=1.01,"OK","MISMATCH")</f>
        <v>OK</v>
      </c>
    </row>
    <row r="129" customFormat="false" ht="15" hidden="false" customHeight="false" outlineLevel="0" collapsed="false">
      <c r="A129" s="5" t="n">
        <v>32</v>
      </c>
      <c r="B129" s="5" t="n">
        <v>272</v>
      </c>
      <c r="C129" s="5" t="s">
        <v>141</v>
      </c>
      <c r="D129" s="5" t="s">
        <v>144</v>
      </c>
      <c r="E129" s="5" t="n">
        <v>20000</v>
      </c>
      <c r="F129" s="27" t="n">
        <v>45197</v>
      </c>
      <c r="G129" s="28" t="n">
        <v>45152.4694444445</v>
      </c>
      <c r="H129" s="28" t="n">
        <v>45182.6361111111</v>
      </c>
      <c r="I129" s="24" t="n">
        <v>94.5</v>
      </c>
      <c r="J129" s="24" t="n">
        <v>238.1</v>
      </c>
      <c r="K129" s="24" t="n">
        <v>143.6</v>
      </c>
      <c r="L129" s="24" t="n">
        <v>7180</v>
      </c>
      <c r="M129" s="24" t="n">
        <v>0.62</v>
      </c>
      <c r="N129" s="24" t="n">
        <v>50</v>
      </c>
      <c r="O129" s="5" t="str">
        <f aca="false">IF(ABS((J129-I129)-K129)&lt;=0.051,"OK","MISMATCH")</f>
        <v>OK</v>
      </c>
      <c r="P129" s="5" t="str">
        <f aca="false">IF(ABS(IF(C129="Buy",1,-1)*(J129-I129)*N129-L129)&lt;=1.01,"OK","MISMATCH")</f>
        <v>OK</v>
      </c>
    </row>
    <row r="130" customFormat="false" ht="15" hidden="false" customHeight="false" outlineLevel="0" collapsed="false">
      <c r="A130" s="5" t="n">
        <v>33</v>
      </c>
      <c r="B130" s="5" t="n">
        <v>277</v>
      </c>
      <c r="C130" s="5" t="s">
        <v>143</v>
      </c>
      <c r="D130" s="5" t="s">
        <v>142</v>
      </c>
      <c r="E130" s="5" t="n">
        <v>19700</v>
      </c>
      <c r="F130" s="27" t="n">
        <v>45225</v>
      </c>
      <c r="G130" s="28" t="n">
        <v>45180.4694444445</v>
      </c>
      <c r="H130" s="28" t="n">
        <v>45210.6361111111</v>
      </c>
      <c r="I130" s="24" t="n">
        <v>144.8</v>
      </c>
      <c r="J130" s="24" t="n">
        <v>105.6</v>
      </c>
      <c r="K130" s="24" t="n">
        <v>-39.2</v>
      </c>
      <c r="L130" s="24" t="n">
        <v>1960</v>
      </c>
      <c r="M130" s="24" t="n">
        <v>0.36</v>
      </c>
      <c r="N130" s="24" t="n">
        <v>50</v>
      </c>
      <c r="O130" s="5" t="str">
        <f aca="false">IF(ABS((J130-I130)-K130)&lt;=0.051,"OK","MISMATCH")</f>
        <v>OK</v>
      </c>
      <c r="P130" s="5" t="str">
        <f aca="false">IF(ABS(IF(C130="Buy",1,-1)*(J130-I130)*N130-L130)&lt;=1.01,"OK","MISMATCH")</f>
        <v>OK</v>
      </c>
    </row>
    <row r="131" customFormat="false" ht="15" hidden="false" customHeight="false" outlineLevel="0" collapsed="false">
      <c r="A131" s="5" t="n">
        <v>33</v>
      </c>
      <c r="B131" s="5" t="n">
        <v>278</v>
      </c>
      <c r="C131" s="5" t="s">
        <v>141</v>
      </c>
      <c r="D131" s="5" t="s">
        <v>142</v>
      </c>
      <c r="E131" s="5" t="n">
        <v>19500</v>
      </c>
      <c r="F131" s="27" t="n">
        <v>45225</v>
      </c>
      <c r="G131" s="28" t="n">
        <v>45180.4694444445</v>
      </c>
      <c r="H131" s="28" t="n">
        <v>45210.6361111111</v>
      </c>
      <c r="I131" s="24" t="n">
        <v>105.6</v>
      </c>
      <c r="J131" s="24" t="n">
        <v>58.9</v>
      </c>
      <c r="K131" s="24" t="n">
        <v>-46.7</v>
      </c>
      <c r="L131" s="24" t="n">
        <v>-2335</v>
      </c>
      <c r="M131" s="24" t="n">
        <v>-0.22</v>
      </c>
      <c r="N131" s="24" t="n">
        <v>50</v>
      </c>
      <c r="O131" s="5" t="str">
        <f aca="false">IF(ABS((J131-I131)-K131)&lt;=0.051,"OK","MISMATCH")</f>
        <v>OK</v>
      </c>
      <c r="P131" s="5" t="str">
        <f aca="false">IF(ABS(IF(C131="Buy",1,-1)*(J131-I131)*N131-L131)&lt;=1.01,"OK","MISMATCH")</f>
        <v>OK</v>
      </c>
    </row>
    <row r="132" customFormat="false" ht="15" hidden="false" customHeight="false" outlineLevel="0" collapsed="false">
      <c r="A132" s="5" t="n">
        <v>33</v>
      </c>
      <c r="B132" s="5" t="n">
        <v>279</v>
      </c>
      <c r="C132" s="5" t="s">
        <v>143</v>
      </c>
      <c r="D132" s="5" t="s">
        <v>144</v>
      </c>
      <c r="E132" s="5" t="n">
        <v>20300</v>
      </c>
      <c r="F132" s="27" t="n">
        <v>45225</v>
      </c>
      <c r="G132" s="28" t="n">
        <v>45180.4694444445</v>
      </c>
      <c r="H132" s="28" t="n">
        <v>45210.6361111111</v>
      </c>
      <c r="I132" s="24" t="n">
        <v>171</v>
      </c>
      <c r="J132" s="24" t="n">
        <v>21.6</v>
      </c>
      <c r="K132" s="24" t="n">
        <v>-149.4</v>
      </c>
      <c r="L132" s="24" t="n">
        <v>7470</v>
      </c>
      <c r="M132" s="24" t="n">
        <v>-0.12</v>
      </c>
      <c r="N132" s="24" t="n">
        <v>50</v>
      </c>
      <c r="O132" s="5" t="str">
        <f aca="false">IF(ABS((J132-I132)-K132)&lt;=0.051,"OK","MISMATCH")</f>
        <v>OK</v>
      </c>
      <c r="P132" s="5" t="str">
        <f aca="false">IF(ABS(IF(C132="Buy",1,-1)*(J132-I132)*N132-L132)&lt;=1.01,"OK","MISMATCH")</f>
        <v>OK</v>
      </c>
    </row>
    <row r="133" customFormat="false" ht="15" hidden="false" customHeight="false" outlineLevel="0" collapsed="false">
      <c r="A133" s="5" t="n">
        <v>33</v>
      </c>
      <c r="B133" s="5" t="n">
        <v>280</v>
      </c>
      <c r="C133" s="5" t="s">
        <v>141</v>
      </c>
      <c r="D133" s="5" t="s">
        <v>144</v>
      </c>
      <c r="E133" s="5" t="n">
        <v>20500</v>
      </c>
      <c r="F133" s="27" t="n">
        <v>45225</v>
      </c>
      <c r="G133" s="28" t="n">
        <v>45180.4694444445</v>
      </c>
      <c r="H133" s="28" t="n">
        <v>45210.6361111111</v>
      </c>
      <c r="I133" s="24" t="n">
        <v>99.5</v>
      </c>
      <c r="J133" s="24" t="n">
        <v>9.2</v>
      </c>
      <c r="K133" s="24" t="n">
        <v>-90.3</v>
      </c>
      <c r="L133" s="24" t="n">
        <v>-4515</v>
      </c>
      <c r="M133" s="24" t="n">
        <v>0.06</v>
      </c>
      <c r="N133" s="24" t="n">
        <v>50</v>
      </c>
      <c r="O133" s="5" t="str">
        <f aca="false">IF(ABS((J133-I133)-K133)&lt;=0.051,"OK","MISMATCH")</f>
        <v>OK</v>
      </c>
      <c r="P133" s="5" t="str">
        <f aca="false">IF(ABS(IF(C133="Buy",1,-1)*(J133-I133)*N133-L133)&lt;=1.01,"OK","MISMATCH")</f>
        <v>OK</v>
      </c>
    </row>
    <row r="134" customFormat="false" ht="15" hidden="false" customHeight="false" outlineLevel="0" collapsed="false">
      <c r="A134" s="5" t="n">
        <v>34</v>
      </c>
      <c r="B134" s="5" t="n">
        <v>285</v>
      </c>
      <c r="C134" s="5" t="s">
        <v>143</v>
      </c>
      <c r="D134" s="5" t="s">
        <v>142</v>
      </c>
      <c r="E134" s="5" t="n">
        <v>19500</v>
      </c>
      <c r="F134" s="27" t="n">
        <v>45260</v>
      </c>
      <c r="G134" s="28" t="n">
        <v>45215.4694444445</v>
      </c>
      <c r="H134" s="28" t="n">
        <v>45245.6361111111</v>
      </c>
      <c r="I134" s="24" t="n">
        <v>152.1</v>
      </c>
      <c r="J134" s="24" t="n">
        <v>63.6</v>
      </c>
      <c r="K134" s="24" t="n">
        <v>-88.5</v>
      </c>
      <c r="L134" s="24" t="n">
        <v>4425</v>
      </c>
      <c r="M134" s="24" t="n">
        <v>0.27</v>
      </c>
      <c r="N134" s="24" t="n">
        <v>50</v>
      </c>
      <c r="O134" s="5" t="str">
        <f aca="false">IF(ABS((J134-I134)-K134)&lt;=0.051,"OK","MISMATCH")</f>
        <v>OK</v>
      </c>
      <c r="P134" s="5" t="str">
        <f aca="false">IF(ABS(IF(C134="Buy",1,-1)*(J134-I134)*N134-L134)&lt;=1.01,"OK","MISMATCH")</f>
        <v>OK</v>
      </c>
    </row>
    <row r="135" customFormat="false" ht="15" hidden="false" customHeight="false" outlineLevel="0" collapsed="false">
      <c r="A135" s="5" t="n">
        <v>34</v>
      </c>
      <c r="B135" s="5" t="n">
        <v>286</v>
      </c>
      <c r="C135" s="5" t="s">
        <v>141</v>
      </c>
      <c r="D135" s="5" t="s">
        <v>142</v>
      </c>
      <c r="E135" s="5" t="n">
        <v>19300</v>
      </c>
      <c r="F135" s="27" t="n">
        <v>45260</v>
      </c>
      <c r="G135" s="28" t="n">
        <v>45215.4694444445</v>
      </c>
      <c r="H135" s="28" t="n">
        <v>45245.6361111111</v>
      </c>
      <c r="I135" s="24" t="n">
        <v>107.2</v>
      </c>
      <c r="J135" s="24" t="n">
        <v>31.9</v>
      </c>
      <c r="K135" s="24" t="n">
        <v>-75.3</v>
      </c>
      <c r="L135" s="24" t="n">
        <v>-3765</v>
      </c>
      <c r="M135" s="24" t="n">
        <v>-0.15</v>
      </c>
      <c r="N135" s="24" t="n">
        <v>50</v>
      </c>
      <c r="O135" s="5" t="str">
        <f aca="false">IF(ABS((J135-I135)-K135)&lt;=0.051,"OK","MISMATCH")</f>
        <v>OK</v>
      </c>
      <c r="P135" s="5" t="str">
        <f aca="false">IF(ABS(IF(C135="Buy",1,-1)*(J135-I135)*N135-L135)&lt;=1.01,"OK","MISMATCH")</f>
        <v>OK</v>
      </c>
    </row>
    <row r="136" customFormat="false" ht="15" hidden="false" customHeight="false" outlineLevel="0" collapsed="false">
      <c r="A136" s="5" t="n">
        <v>34</v>
      </c>
      <c r="B136" s="5" t="n">
        <v>287</v>
      </c>
      <c r="C136" s="5" t="s">
        <v>143</v>
      </c>
      <c r="D136" s="5" t="s">
        <v>144</v>
      </c>
      <c r="E136" s="5" t="n">
        <v>20200</v>
      </c>
      <c r="F136" s="27" t="n">
        <v>45260</v>
      </c>
      <c r="G136" s="28" t="n">
        <v>45215.4694444445</v>
      </c>
      <c r="H136" s="28" t="n">
        <v>45245.6361111111</v>
      </c>
      <c r="I136" s="24" t="n">
        <v>136.3</v>
      </c>
      <c r="J136" s="24" t="n">
        <v>14.6</v>
      </c>
      <c r="K136" s="24" t="n">
        <v>-121.7</v>
      </c>
      <c r="L136" s="24" t="n">
        <v>6085</v>
      </c>
      <c r="M136" s="24" t="n">
        <v>-0.09</v>
      </c>
      <c r="N136" s="24" t="n">
        <v>50</v>
      </c>
      <c r="O136" s="5" t="str">
        <f aca="false">IF(ABS((J136-I136)-K136)&lt;=0.051,"OK","MISMATCH")</f>
        <v>OK</v>
      </c>
      <c r="P136" s="5" t="str">
        <f aca="false">IF(ABS(IF(C136="Buy",1,-1)*(J136-I136)*N136-L136)&lt;=1.01,"OK","MISMATCH")</f>
        <v>OK</v>
      </c>
    </row>
    <row r="137" customFormat="false" ht="15" hidden="false" customHeight="false" outlineLevel="0" collapsed="false">
      <c r="A137" s="5" t="n">
        <v>34</v>
      </c>
      <c r="B137" s="5" t="n">
        <v>288</v>
      </c>
      <c r="C137" s="5" t="s">
        <v>141</v>
      </c>
      <c r="D137" s="5" t="s">
        <v>144</v>
      </c>
      <c r="E137" s="5" t="n">
        <v>20400</v>
      </c>
      <c r="F137" s="27" t="n">
        <v>45260</v>
      </c>
      <c r="G137" s="28" t="n">
        <v>45215.4694444445</v>
      </c>
      <c r="H137" s="28" t="n">
        <v>45245.6361111111</v>
      </c>
      <c r="I137" s="24" t="n">
        <v>78.2</v>
      </c>
      <c r="J137" s="24" t="n">
        <v>5.3</v>
      </c>
      <c r="K137" s="24" t="n">
        <v>-72.9</v>
      </c>
      <c r="L137" s="24" t="n">
        <v>-3645</v>
      </c>
      <c r="M137" s="24" t="n">
        <v>0.04</v>
      </c>
      <c r="N137" s="24" t="n">
        <v>50</v>
      </c>
      <c r="O137" s="5" t="str">
        <f aca="false">IF(ABS((J137-I137)-K137)&lt;=0.051,"OK","MISMATCH")</f>
        <v>OK</v>
      </c>
      <c r="P137" s="5" t="str">
        <f aca="false">IF(ABS(IF(C137="Buy",1,-1)*(J137-I137)*N137-L137)&lt;=1.01,"OK","MISMATCH")</f>
        <v>OK</v>
      </c>
    </row>
    <row r="138" customFormat="false" ht="15" hidden="false" customHeight="false" outlineLevel="0" collapsed="false">
      <c r="A138" s="5" t="n">
        <v>35</v>
      </c>
      <c r="B138" s="5" t="n">
        <v>293</v>
      </c>
      <c r="C138" s="5" t="s">
        <v>143</v>
      </c>
      <c r="D138" s="5" t="s">
        <v>142</v>
      </c>
      <c r="E138" s="5" t="n">
        <v>19200</v>
      </c>
      <c r="F138" s="27" t="n">
        <v>45288</v>
      </c>
      <c r="G138" s="28" t="n">
        <v>45243.4694444445</v>
      </c>
      <c r="H138" s="28" t="n">
        <v>45272.6361111111</v>
      </c>
      <c r="I138" s="24" t="n">
        <v>143.7</v>
      </c>
      <c r="J138" s="24" t="n">
        <v>6.7</v>
      </c>
      <c r="K138" s="24" t="n">
        <v>-137</v>
      </c>
      <c r="L138" s="24" t="n">
        <v>6850</v>
      </c>
      <c r="M138" s="24" t="n">
        <v>0.02</v>
      </c>
      <c r="N138" s="24" t="n">
        <v>50</v>
      </c>
      <c r="O138" s="5" t="str">
        <f aca="false">IF(ABS((J138-I138)-K138)&lt;=0.051,"OK","MISMATCH")</f>
        <v>OK</v>
      </c>
      <c r="P138" s="5" t="str">
        <f aca="false">IF(ABS(IF(C138="Buy",1,-1)*(J138-I138)*N138-L138)&lt;=1.01,"OK","MISMATCH")</f>
        <v>OK</v>
      </c>
    </row>
    <row r="139" customFormat="false" ht="15" hidden="false" customHeight="false" outlineLevel="0" collapsed="false">
      <c r="A139" s="5" t="n">
        <v>35</v>
      </c>
      <c r="B139" s="5" t="n">
        <v>294</v>
      </c>
      <c r="C139" s="5" t="s">
        <v>141</v>
      </c>
      <c r="D139" s="5" t="s">
        <v>142</v>
      </c>
      <c r="E139" s="5" t="n">
        <v>19000</v>
      </c>
      <c r="F139" s="27" t="n">
        <v>45288</v>
      </c>
      <c r="G139" s="28" t="n">
        <v>45243.4694444445</v>
      </c>
      <c r="H139" s="28" t="n">
        <v>45272.6361111111</v>
      </c>
      <c r="I139" s="24" t="n">
        <v>103.2</v>
      </c>
      <c r="J139" s="24" t="n">
        <v>6.6</v>
      </c>
      <c r="K139" s="24" t="n">
        <v>-96.6</v>
      </c>
      <c r="L139" s="24" t="n">
        <v>-4830</v>
      </c>
      <c r="M139" s="24" t="n">
        <v>-0.02</v>
      </c>
      <c r="N139" s="24" t="n">
        <v>50</v>
      </c>
      <c r="O139" s="5" t="str">
        <f aca="false">IF(ABS((J139-I139)-K139)&lt;=0.051,"OK","MISMATCH")</f>
        <v>OK</v>
      </c>
      <c r="P139" s="5" t="str">
        <f aca="false">IF(ABS(IF(C139="Buy",1,-1)*(J139-I139)*N139-L139)&lt;=1.01,"OK","MISMATCH")</f>
        <v>OK</v>
      </c>
    </row>
    <row r="140" customFormat="false" ht="15" hidden="false" customHeight="false" outlineLevel="0" collapsed="false">
      <c r="A140" s="5" t="n">
        <v>35</v>
      </c>
      <c r="B140" s="5" t="n">
        <v>295</v>
      </c>
      <c r="C140" s="5" t="s">
        <v>143</v>
      </c>
      <c r="D140" s="5" t="s">
        <v>144</v>
      </c>
      <c r="E140" s="5" t="n">
        <v>19900</v>
      </c>
      <c r="F140" s="27" t="n">
        <v>45288</v>
      </c>
      <c r="G140" s="28" t="n">
        <v>45243.4694444445</v>
      </c>
      <c r="H140" s="28" t="n">
        <v>45272.6361111111</v>
      </c>
      <c r="I140" s="24" t="n">
        <v>136.9</v>
      </c>
      <c r="J140" s="24" t="n">
        <v>1144.5</v>
      </c>
      <c r="K140" s="24" t="n">
        <v>1007.6</v>
      </c>
      <c r="L140" s="24" t="n">
        <v>-50380</v>
      </c>
      <c r="M140" s="24" t="n">
        <v>-0.96</v>
      </c>
      <c r="N140" s="24" t="n">
        <v>50</v>
      </c>
      <c r="O140" s="5" t="str">
        <f aca="false">IF(ABS((J140-I140)-K140)&lt;=0.051,"OK","MISMATCH")</f>
        <v>OK</v>
      </c>
      <c r="P140" s="5" t="str">
        <f aca="false">IF(ABS(IF(C140="Buy",1,-1)*(J140-I140)*N140-L140)&lt;=1.01,"OK","MISMATCH")</f>
        <v>OK</v>
      </c>
    </row>
    <row r="141" customFormat="false" ht="15" hidden="false" customHeight="false" outlineLevel="0" collapsed="false">
      <c r="A141" s="5" t="n">
        <v>35</v>
      </c>
      <c r="B141" s="5" t="n">
        <v>296</v>
      </c>
      <c r="C141" s="5" t="s">
        <v>141</v>
      </c>
      <c r="D141" s="5" t="s">
        <v>144</v>
      </c>
      <c r="E141" s="5" t="n">
        <v>20100</v>
      </c>
      <c r="F141" s="27" t="n">
        <v>45288</v>
      </c>
      <c r="G141" s="28" t="n">
        <v>45243.4694444445</v>
      </c>
      <c r="H141" s="28" t="n">
        <v>45272.6361111111</v>
      </c>
      <c r="I141" s="24" t="n">
        <v>78.6</v>
      </c>
      <c r="J141" s="24" t="n">
        <v>934.8</v>
      </c>
      <c r="K141" s="24" t="n">
        <v>856.2</v>
      </c>
      <c r="L141" s="24" t="n">
        <v>42810</v>
      </c>
      <c r="M141" s="24" t="n">
        <v>0.93</v>
      </c>
      <c r="N141" s="24" t="n">
        <v>50</v>
      </c>
      <c r="O141" s="5" t="str">
        <f aca="false">IF(ABS((J141-I141)-K141)&lt;=0.051,"OK","MISMATCH")</f>
        <v>OK</v>
      </c>
      <c r="P141" s="5" t="str">
        <f aca="false">IF(ABS(IF(C141="Buy",1,-1)*(J141-I141)*N141-L141)&lt;=1.01,"OK","MISMATCH")</f>
        <v>OK</v>
      </c>
    </row>
    <row r="142" customFormat="false" ht="15" hidden="false" customHeight="false" outlineLevel="0" collapsed="false">
      <c r="A142" s="5" t="n">
        <v>36</v>
      </c>
      <c r="B142" s="5" t="n">
        <v>301</v>
      </c>
      <c r="C142" s="5" t="s">
        <v>141</v>
      </c>
      <c r="D142" s="5" t="s">
        <v>142</v>
      </c>
      <c r="E142" s="5" t="n">
        <v>20550</v>
      </c>
      <c r="F142" s="27" t="n">
        <v>45316</v>
      </c>
      <c r="G142" s="28" t="n">
        <v>45271.4694444445</v>
      </c>
      <c r="H142" s="28" t="n">
        <v>45301.6361111111</v>
      </c>
      <c r="I142" s="24" t="n">
        <v>130</v>
      </c>
      <c r="J142" s="24" t="n">
        <v>13.2</v>
      </c>
      <c r="K142" s="24" t="n">
        <v>-116.8</v>
      </c>
      <c r="L142" s="24" t="n">
        <v>-5840</v>
      </c>
      <c r="M142" s="24" t="n">
        <v>-0.04</v>
      </c>
      <c r="N142" s="24" t="n">
        <v>50</v>
      </c>
      <c r="O142" s="5" t="str">
        <f aca="false">IF(ABS((J142-I142)-K142)&lt;=0.051,"OK","MISMATCH")</f>
        <v>OK</v>
      </c>
      <c r="P142" s="5" t="str">
        <f aca="false">IF(ABS(IF(C142="Buy",1,-1)*(J142-I142)*N142-L142)&lt;=1.01,"OK","MISMATCH")</f>
        <v>OK</v>
      </c>
    </row>
    <row r="143" customFormat="false" ht="15" hidden="false" customHeight="false" outlineLevel="0" collapsed="false">
      <c r="A143" s="5" t="n">
        <v>36</v>
      </c>
      <c r="B143" s="5" t="n">
        <v>302</v>
      </c>
      <c r="C143" s="5" t="s">
        <v>143</v>
      </c>
      <c r="D143" s="5" t="s">
        <v>144</v>
      </c>
      <c r="E143" s="5" t="n">
        <v>21600</v>
      </c>
      <c r="F143" s="27" t="n">
        <v>45316</v>
      </c>
      <c r="G143" s="28" t="n">
        <v>45271.4694444445</v>
      </c>
      <c r="H143" s="28" t="n">
        <v>45301.6361111111</v>
      </c>
      <c r="I143" s="24" t="n">
        <v>172</v>
      </c>
      <c r="J143" s="24" t="n">
        <v>274.4</v>
      </c>
      <c r="K143" s="24" t="n">
        <v>102.4</v>
      </c>
      <c r="L143" s="24" t="n">
        <v>-5120</v>
      </c>
      <c r="M143" s="24" t="n">
        <v>-0.58</v>
      </c>
      <c r="N143" s="24" t="n">
        <v>50</v>
      </c>
      <c r="O143" s="5" t="str">
        <f aca="false">IF(ABS((J143-I143)-K143)&lt;=0.051,"OK","MISMATCH")</f>
        <v>OK</v>
      </c>
      <c r="P143" s="5" t="str">
        <f aca="false">IF(ABS(IF(C143="Buy",1,-1)*(J143-I143)*N143-L143)&lt;=1.01,"OK","MISMATCH")</f>
        <v>OK</v>
      </c>
    </row>
    <row r="144" customFormat="false" ht="15" hidden="false" customHeight="false" outlineLevel="0" collapsed="false">
      <c r="A144" s="5" t="n">
        <v>36</v>
      </c>
      <c r="B144" s="5" t="n">
        <v>303</v>
      </c>
      <c r="C144" s="5" t="s">
        <v>141</v>
      </c>
      <c r="D144" s="5" t="s">
        <v>144</v>
      </c>
      <c r="E144" s="5" t="n">
        <v>21800</v>
      </c>
      <c r="F144" s="27" t="n">
        <v>45316</v>
      </c>
      <c r="G144" s="28" t="n">
        <v>45271.4694444445</v>
      </c>
      <c r="H144" s="28" t="n">
        <v>45301.6361111111</v>
      </c>
      <c r="I144" s="24" t="n">
        <v>117.8</v>
      </c>
      <c r="J144" s="24" t="n">
        <v>166.8</v>
      </c>
      <c r="K144" s="24" t="n">
        <v>49</v>
      </c>
      <c r="L144" s="24" t="n">
        <v>2450</v>
      </c>
      <c r="M144" s="24" t="n">
        <v>0.43</v>
      </c>
      <c r="N144" s="24" t="n">
        <v>50</v>
      </c>
      <c r="O144" s="5" t="str">
        <f aca="false">IF(ABS((J144-I144)-K144)&lt;=0.051,"OK","MISMATCH")</f>
        <v>OK</v>
      </c>
      <c r="P144" s="5" t="str">
        <f aca="false">IF(ABS(IF(C144="Buy",1,-1)*(J144-I144)*N144-L144)&lt;=1.01,"OK","MISMATCH")</f>
        <v>OK</v>
      </c>
    </row>
    <row r="145" customFormat="false" ht="15" hidden="false" customHeight="false" outlineLevel="0" collapsed="false">
      <c r="A145" s="5" t="n">
        <v>36</v>
      </c>
      <c r="B145" s="5" t="n">
        <v>304</v>
      </c>
      <c r="C145" s="5" t="s">
        <v>143</v>
      </c>
      <c r="D145" s="5" t="s">
        <v>142</v>
      </c>
      <c r="E145" s="5" t="n">
        <v>20750</v>
      </c>
      <c r="F145" s="27" t="n">
        <v>45316</v>
      </c>
      <c r="G145" s="28" t="n">
        <v>45271.4694444445</v>
      </c>
      <c r="H145" s="28" t="n">
        <v>45301.6361111111</v>
      </c>
      <c r="I145" s="24" t="n">
        <v>177.8</v>
      </c>
      <c r="J145" s="24" t="n">
        <v>19.7</v>
      </c>
      <c r="K145" s="24" t="n">
        <v>-158.1</v>
      </c>
      <c r="L145" s="24" t="n">
        <v>7905</v>
      </c>
      <c r="M145" s="24" t="n">
        <v>0.07</v>
      </c>
      <c r="N145" s="24" t="n">
        <v>50</v>
      </c>
      <c r="O145" s="5" t="str">
        <f aca="false">IF(ABS((J145-I145)-K145)&lt;=0.051,"OK","MISMATCH")</f>
        <v>OK</v>
      </c>
      <c r="P145" s="5" t="str">
        <f aca="false">IF(ABS(IF(C145="Buy",1,-1)*(J145-I145)*N145-L145)&lt;=1.01,"OK","MISMATCH")</f>
        <v>OK</v>
      </c>
    </row>
    <row r="146" customFormat="false" ht="15" hidden="false" customHeight="false" outlineLevel="0" collapsed="false">
      <c r="A146" s="5" t="n">
        <v>37</v>
      </c>
      <c r="B146" s="5" t="n">
        <v>309</v>
      </c>
      <c r="C146" s="5" t="s">
        <v>141</v>
      </c>
      <c r="D146" s="5" t="s">
        <v>142</v>
      </c>
      <c r="E146" s="5" t="n">
        <v>21400</v>
      </c>
      <c r="F146" s="27" t="n">
        <v>45351</v>
      </c>
      <c r="G146" s="28" t="n">
        <v>45306.4694444445</v>
      </c>
      <c r="H146" s="28" t="n">
        <v>45336.6361111111</v>
      </c>
      <c r="I146" s="24" t="n">
        <v>141.9</v>
      </c>
      <c r="J146" s="24" t="n">
        <v>86.2</v>
      </c>
      <c r="K146" s="24" t="n">
        <v>-55.7</v>
      </c>
      <c r="L146" s="24" t="n">
        <v>-2785</v>
      </c>
      <c r="M146" s="24" t="n">
        <v>-0.22</v>
      </c>
      <c r="N146" s="24" t="n">
        <v>50</v>
      </c>
      <c r="O146" s="5" t="str">
        <f aca="false">IF(ABS((J146-I146)-K146)&lt;=0.051,"OK","MISMATCH")</f>
        <v>OK</v>
      </c>
      <c r="P146" s="5" t="str">
        <f aca="false">IF(ABS(IF(C146="Buy",1,-1)*(J146-I146)*N146-L146)&lt;=1.01,"OK","MISMATCH")</f>
        <v>OK</v>
      </c>
    </row>
    <row r="147" customFormat="false" ht="15" hidden="false" customHeight="false" outlineLevel="0" collapsed="false">
      <c r="A147" s="5" t="n">
        <v>37</v>
      </c>
      <c r="B147" s="5" t="n">
        <v>310</v>
      </c>
      <c r="C147" s="5" t="s">
        <v>143</v>
      </c>
      <c r="D147" s="5" t="s">
        <v>144</v>
      </c>
      <c r="E147" s="5" t="n">
        <v>22750</v>
      </c>
      <c r="F147" s="27" t="n">
        <v>45351</v>
      </c>
      <c r="G147" s="28" t="n">
        <v>45306.4694444445</v>
      </c>
      <c r="H147" s="28" t="n">
        <v>45336.6361111111</v>
      </c>
      <c r="I147" s="24" t="n">
        <v>174.1</v>
      </c>
      <c r="J147" s="24" t="n">
        <v>22.1</v>
      </c>
      <c r="K147" s="24" t="n">
        <v>-152</v>
      </c>
      <c r="L147" s="24" t="n">
        <v>7600</v>
      </c>
      <c r="M147" s="24" t="n">
        <v>-0.08</v>
      </c>
      <c r="N147" s="24" t="n">
        <v>50</v>
      </c>
      <c r="O147" s="5" t="str">
        <f aca="false">IF(ABS((J147-I147)-K147)&lt;=0.051,"OK","MISMATCH")</f>
        <v>OK</v>
      </c>
      <c r="P147" s="5" t="str">
        <f aca="false">IF(ABS(IF(C147="Buy",1,-1)*(J147-I147)*N147-L147)&lt;=1.01,"OK","MISMATCH")</f>
        <v>OK</v>
      </c>
    </row>
    <row r="148" customFormat="false" ht="15" hidden="false" customHeight="false" outlineLevel="0" collapsed="false">
      <c r="A148" s="5" t="n">
        <v>37</v>
      </c>
      <c r="B148" s="5" t="n">
        <v>311</v>
      </c>
      <c r="C148" s="5" t="s">
        <v>141</v>
      </c>
      <c r="D148" s="5" t="s">
        <v>144</v>
      </c>
      <c r="E148" s="5" t="n">
        <v>22950</v>
      </c>
      <c r="F148" s="27" t="n">
        <v>45351</v>
      </c>
      <c r="G148" s="28" t="n">
        <v>45306.4694444445</v>
      </c>
      <c r="H148" s="28" t="n">
        <v>45336.6361111111</v>
      </c>
      <c r="I148" s="24" t="n">
        <v>121.5</v>
      </c>
      <c r="J148" s="24" t="n">
        <v>13.7</v>
      </c>
      <c r="K148" s="24" t="n">
        <v>-107.8</v>
      </c>
      <c r="L148" s="24" t="n">
        <v>-5390</v>
      </c>
      <c r="M148" s="24" t="n">
        <v>0.05</v>
      </c>
      <c r="N148" s="24" t="n">
        <v>50</v>
      </c>
      <c r="O148" s="5" t="str">
        <f aca="false">IF(ABS((J148-I148)-K148)&lt;=0.051,"OK","MISMATCH")</f>
        <v>OK</v>
      </c>
      <c r="P148" s="5" t="str">
        <f aca="false">IF(ABS(IF(C148="Buy",1,-1)*(J148-I148)*N148-L148)&lt;=1.01,"OK","MISMATCH")</f>
        <v>OK</v>
      </c>
    </row>
    <row r="149" customFormat="false" ht="15" hidden="false" customHeight="false" outlineLevel="0" collapsed="false">
      <c r="A149" s="5" t="n">
        <v>37</v>
      </c>
      <c r="B149" s="5" t="n">
        <v>312</v>
      </c>
      <c r="C149" s="5" t="s">
        <v>143</v>
      </c>
      <c r="D149" s="5" t="s">
        <v>142</v>
      </c>
      <c r="E149" s="5" t="n">
        <v>21600</v>
      </c>
      <c r="F149" s="27" t="n">
        <v>45351</v>
      </c>
      <c r="G149" s="28" t="n">
        <v>45306.4694444445</v>
      </c>
      <c r="H149" s="28" t="n">
        <v>45336.6361111111</v>
      </c>
      <c r="I149" s="24" t="n">
        <v>188</v>
      </c>
      <c r="J149" s="24" t="n">
        <v>137</v>
      </c>
      <c r="K149" s="24" t="n">
        <v>-51</v>
      </c>
      <c r="L149" s="24" t="n">
        <v>2550</v>
      </c>
      <c r="M149" s="24" t="n">
        <v>0.32</v>
      </c>
      <c r="N149" s="24" t="n">
        <v>50</v>
      </c>
      <c r="O149" s="5" t="str">
        <f aca="false">IF(ABS((J149-I149)-K149)&lt;=0.051,"OK","MISMATCH")</f>
        <v>OK</v>
      </c>
      <c r="P149" s="5" t="str">
        <f aca="false">IF(ABS(IF(C149="Buy",1,-1)*(J149-I149)*N149-L149)&lt;=1.01,"OK","MISMATCH")</f>
        <v>OK</v>
      </c>
    </row>
    <row r="150" customFormat="false" ht="15" hidden="false" customHeight="false" outlineLevel="0" collapsed="false">
      <c r="A150" s="5" t="n">
        <v>38</v>
      </c>
      <c r="B150" s="5" t="n">
        <v>317</v>
      </c>
      <c r="C150" s="5" t="s">
        <v>141</v>
      </c>
      <c r="D150" s="5" t="s">
        <v>142</v>
      </c>
      <c r="E150" s="5" t="n">
        <v>21150</v>
      </c>
      <c r="F150" s="27" t="n">
        <v>45379</v>
      </c>
      <c r="G150" s="28" t="n">
        <v>45334.4694444445</v>
      </c>
      <c r="H150" s="28" t="n">
        <v>45364.6361111111</v>
      </c>
      <c r="I150" s="24" t="n">
        <v>182.3</v>
      </c>
      <c r="J150" s="24" t="n">
        <v>30.8</v>
      </c>
      <c r="K150" s="24" t="n">
        <v>-151.5</v>
      </c>
      <c r="L150" s="24" t="n">
        <v>-7575</v>
      </c>
      <c r="M150" s="24" t="n">
        <v>-0.09</v>
      </c>
      <c r="N150" s="24" t="n">
        <v>50</v>
      </c>
      <c r="O150" s="5" t="str">
        <f aca="false">IF(ABS((J150-I150)-K150)&lt;=0.051,"OK","MISMATCH")</f>
        <v>OK</v>
      </c>
      <c r="P150" s="5" t="str">
        <f aca="false">IF(ABS(IF(C150="Buy",1,-1)*(J150-I150)*N150-L150)&lt;=1.01,"OK","MISMATCH")</f>
        <v>OK</v>
      </c>
    </row>
    <row r="151" customFormat="false" ht="15" hidden="false" customHeight="false" outlineLevel="0" collapsed="false">
      <c r="A151" s="5" t="n">
        <v>38</v>
      </c>
      <c r="B151" s="5" t="n">
        <v>318</v>
      </c>
      <c r="C151" s="5" t="s">
        <v>143</v>
      </c>
      <c r="D151" s="5" t="s">
        <v>144</v>
      </c>
      <c r="E151" s="5" t="n">
        <v>22500</v>
      </c>
      <c r="F151" s="27" t="n">
        <v>45379</v>
      </c>
      <c r="G151" s="28" t="n">
        <v>45334.4694444445</v>
      </c>
      <c r="H151" s="28" t="n">
        <v>45364.6361111111</v>
      </c>
      <c r="I151" s="24" t="n">
        <v>211</v>
      </c>
      <c r="J151" s="24" t="n">
        <v>91</v>
      </c>
      <c r="K151" s="24" t="n">
        <v>-120</v>
      </c>
      <c r="L151" s="24" t="n">
        <v>6000</v>
      </c>
      <c r="M151" s="24" t="n">
        <v>-0.25</v>
      </c>
      <c r="N151" s="24" t="n">
        <v>50</v>
      </c>
      <c r="O151" s="5" t="str">
        <f aca="false">IF(ABS((J151-I151)-K151)&lt;=0.051,"OK","MISMATCH")</f>
        <v>OK</v>
      </c>
      <c r="P151" s="5" t="str">
        <f aca="false">IF(ABS(IF(C151="Buy",1,-1)*(J151-I151)*N151-L151)&lt;=1.01,"OK","MISMATCH")</f>
        <v>OK</v>
      </c>
    </row>
    <row r="152" customFormat="false" ht="15" hidden="false" customHeight="false" outlineLevel="0" collapsed="false">
      <c r="A152" s="5" t="n">
        <v>38</v>
      </c>
      <c r="B152" s="5" t="n">
        <v>319</v>
      </c>
      <c r="C152" s="5" t="s">
        <v>141</v>
      </c>
      <c r="D152" s="5" t="s">
        <v>144</v>
      </c>
      <c r="E152" s="5" t="n">
        <v>22700</v>
      </c>
      <c r="F152" s="27" t="n">
        <v>45379</v>
      </c>
      <c r="G152" s="28" t="n">
        <v>45334.4694444445</v>
      </c>
      <c r="H152" s="28" t="n">
        <v>45364.6361111111</v>
      </c>
      <c r="I152" s="24" t="n">
        <v>154.7</v>
      </c>
      <c r="J152" s="24" t="n">
        <v>50.5</v>
      </c>
      <c r="K152" s="24" t="n">
        <v>-104.2</v>
      </c>
      <c r="L152" s="24" t="n">
        <v>-5210</v>
      </c>
      <c r="M152" s="24" t="n">
        <v>0.16</v>
      </c>
      <c r="N152" s="24" t="n">
        <v>50</v>
      </c>
      <c r="O152" s="5" t="str">
        <f aca="false">IF(ABS((J152-I152)-K152)&lt;=0.051,"OK","MISMATCH")</f>
        <v>OK</v>
      </c>
      <c r="P152" s="5" t="str">
        <f aca="false">IF(ABS(IF(C152="Buy",1,-1)*(J152-I152)*N152-L152)&lt;=1.01,"OK","MISMATCH")</f>
        <v>OK</v>
      </c>
    </row>
    <row r="153" customFormat="false" ht="15" hidden="false" customHeight="false" outlineLevel="0" collapsed="false">
      <c r="A153" s="5" t="n">
        <v>38</v>
      </c>
      <c r="B153" s="5" t="n">
        <v>320</v>
      </c>
      <c r="C153" s="5" t="s">
        <v>143</v>
      </c>
      <c r="D153" s="5" t="s">
        <v>142</v>
      </c>
      <c r="E153" s="5" t="n">
        <v>21350</v>
      </c>
      <c r="F153" s="27" t="n">
        <v>45379</v>
      </c>
      <c r="G153" s="28" t="n">
        <v>45334.4694444445</v>
      </c>
      <c r="H153" s="28" t="n">
        <v>45364.6361111111</v>
      </c>
      <c r="I153" s="24" t="n">
        <v>234.1</v>
      </c>
      <c r="J153" s="24" t="n">
        <v>49.7</v>
      </c>
      <c r="K153" s="24" t="n">
        <v>-184.4</v>
      </c>
      <c r="L153" s="24" t="n">
        <v>9220</v>
      </c>
      <c r="M153" s="24" t="n">
        <v>0.14</v>
      </c>
      <c r="N153" s="24" t="n">
        <v>50</v>
      </c>
      <c r="O153" s="5" t="str">
        <f aca="false">IF(ABS((J153-I153)-K153)&lt;=0.051,"OK","MISMATCH")</f>
        <v>OK</v>
      </c>
      <c r="P153" s="5" t="str">
        <f aca="false">IF(ABS(IF(C153="Buy",1,-1)*(J153-I153)*N153-L153)&lt;=1.01,"OK","MISMATCH")</f>
        <v>OK</v>
      </c>
    </row>
    <row r="154" customFormat="false" ht="15" hidden="false" customHeight="false" outlineLevel="0" collapsed="false">
      <c r="A154" s="5" t="n">
        <v>39</v>
      </c>
      <c r="B154" s="5" t="n">
        <v>325</v>
      </c>
      <c r="C154" s="5" t="s">
        <v>141</v>
      </c>
      <c r="D154" s="5" t="s">
        <v>142</v>
      </c>
      <c r="E154" s="5" t="n">
        <v>21900</v>
      </c>
      <c r="F154" s="27" t="n">
        <v>45407</v>
      </c>
      <c r="G154" s="28" t="n">
        <v>45362.4694444445</v>
      </c>
      <c r="H154" s="28" t="n">
        <v>45385.6361111111</v>
      </c>
      <c r="I154" s="24" t="n">
        <v>175.3</v>
      </c>
      <c r="J154" s="24" t="n">
        <v>59.7</v>
      </c>
      <c r="K154" s="24" t="n">
        <v>-115.6</v>
      </c>
      <c r="L154" s="24" t="n">
        <v>-5780</v>
      </c>
      <c r="M154" s="24" t="n">
        <v>-0.16</v>
      </c>
      <c r="N154" s="24" t="n">
        <v>50</v>
      </c>
      <c r="O154" s="5" t="str">
        <f aca="false">IF(ABS((J154-I154)-K154)&lt;=0.051,"OK","MISMATCH")</f>
        <v>OK</v>
      </c>
      <c r="P154" s="5" t="str">
        <f aca="false">IF(ABS(IF(C154="Buy",1,-1)*(J154-I154)*N154-L154)&lt;=1.01,"OK","MISMATCH")</f>
        <v>OK</v>
      </c>
    </row>
    <row r="155" customFormat="false" ht="15" hidden="false" customHeight="false" outlineLevel="0" collapsed="false">
      <c r="A155" s="5" t="n">
        <v>39</v>
      </c>
      <c r="B155" s="5" t="n">
        <v>326</v>
      </c>
      <c r="C155" s="5" t="s">
        <v>143</v>
      </c>
      <c r="D155" s="5" t="s">
        <v>144</v>
      </c>
      <c r="E155" s="5" t="n">
        <v>23200</v>
      </c>
      <c r="F155" s="27" t="n">
        <v>45407</v>
      </c>
      <c r="G155" s="28" t="n">
        <v>45362.4694444445</v>
      </c>
      <c r="H155" s="28" t="n">
        <v>45385.6361111111</v>
      </c>
      <c r="I155" s="24" t="n">
        <v>206.6</v>
      </c>
      <c r="J155" s="24" t="n">
        <v>31.9</v>
      </c>
      <c r="K155" s="24" t="n">
        <v>-174.7</v>
      </c>
      <c r="L155" s="24" t="n">
        <v>8735</v>
      </c>
      <c r="M155" s="24" t="n">
        <v>-0.12</v>
      </c>
      <c r="N155" s="24" t="n">
        <v>50</v>
      </c>
      <c r="O155" s="5" t="str">
        <f aca="false">IF(ABS((J155-I155)-K155)&lt;=0.051,"OK","MISMATCH")</f>
        <v>OK</v>
      </c>
      <c r="P155" s="5" t="str">
        <f aca="false">IF(ABS(IF(C155="Buy",1,-1)*(J155-I155)*N155-L155)&lt;=1.01,"OK","MISMATCH")</f>
        <v>OK</v>
      </c>
    </row>
    <row r="156" customFormat="false" ht="15" hidden="false" customHeight="false" outlineLevel="0" collapsed="false">
      <c r="A156" s="5" t="n">
        <v>39</v>
      </c>
      <c r="B156" s="5" t="n">
        <v>327</v>
      </c>
      <c r="C156" s="5" t="s">
        <v>141</v>
      </c>
      <c r="D156" s="5" t="s">
        <v>144</v>
      </c>
      <c r="E156" s="5" t="n">
        <v>23400</v>
      </c>
      <c r="F156" s="27" t="n">
        <v>45407</v>
      </c>
      <c r="G156" s="28" t="n">
        <v>45362.4694444445</v>
      </c>
      <c r="H156" s="28" t="n">
        <v>45385.6361111111</v>
      </c>
      <c r="I156" s="24" t="n">
        <v>147.3</v>
      </c>
      <c r="J156" s="24" t="n">
        <v>14</v>
      </c>
      <c r="K156" s="24" t="n">
        <v>-133.3</v>
      </c>
      <c r="L156" s="24" t="n">
        <v>-6665</v>
      </c>
      <c r="M156" s="24" t="n">
        <v>0.06</v>
      </c>
      <c r="N156" s="24" t="n">
        <v>50</v>
      </c>
      <c r="O156" s="5" t="str">
        <f aca="false">IF(ABS((J156-I156)-K156)&lt;=0.051,"OK","MISMATCH")</f>
        <v>OK</v>
      </c>
      <c r="P156" s="5" t="str">
        <f aca="false">IF(ABS(IF(C156="Buy",1,-1)*(J156-I156)*N156-L156)&lt;=1.01,"OK","MISMATCH")</f>
        <v>OK</v>
      </c>
    </row>
    <row r="157" customFormat="false" ht="15" hidden="false" customHeight="false" outlineLevel="0" collapsed="false">
      <c r="A157" s="5" t="n">
        <v>39</v>
      </c>
      <c r="B157" s="5" t="n">
        <v>328</v>
      </c>
      <c r="C157" s="5" t="s">
        <v>143</v>
      </c>
      <c r="D157" s="5" t="s">
        <v>142</v>
      </c>
      <c r="E157" s="5" t="n">
        <v>22100</v>
      </c>
      <c r="F157" s="27" t="n">
        <v>45407</v>
      </c>
      <c r="G157" s="28" t="n">
        <v>45362.4694444445</v>
      </c>
      <c r="H157" s="28" t="n">
        <v>45385.6361111111</v>
      </c>
      <c r="I157" s="24" t="n">
        <v>228.2</v>
      </c>
      <c r="J157" s="24" t="n">
        <v>97.2</v>
      </c>
      <c r="K157" s="24" t="n">
        <v>-131</v>
      </c>
      <c r="L157" s="24" t="n">
        <v>6550</v>
      </c>
      <c r="M157" s="24" t="n">
        <v>0.25</v>
      </c>
      <c r="N157" s="24" t="n">
        <v>50</v>
      </c>
      <c r="O157" s="5" t="str">
        <f aca="false">IF(ABS((J157-I157)-K157)&lt;=0.051,"OK","MISMATCH")</f>
        <v>OK</v>
      </c>
      <c r="P157" s="5" t="str">
        <f aca="false">IF(ABS(IF(C157="Buy",1,-1)*(J157-I157)*N157-L157)&lt;=1.01,"OK","MISMATCH")</f>
        <v>OK</v>
      </c>
    </row>
    <row r="158" customFormat="false" ht="15" hidden="false" customHeight="false" outlineLevel="0" collapsed="false">
      <c r="A158" s="5" t="n">
        <v>40</v>
      </c>
      <c r="B158" s="5" t="n">
        <v>333</v>
      </c>
      <c r="C158" s="5" t="s">
        <v>141</v>
      </c>
      <c r="D158" s="5" t="s">
        <v>142</v>
      </c>
      <c r="E158" s="5" t="n">
        <v>21900</v>
      </c>
      <c r="F158" s="27" t="n">
        <v>45442</v>
      </c>
      <c r="G158" s="28" t="n">
        <v>45397.4694444445</v>
      </c>
      <c r="H158" s="28" t="n">
        <v>45427.6361111111</v>
      </c>
      <c r="I158" s="24" t="n">
        <v>131.6</v>
      </c>
      <c r="J158" s="24" t="n">
        <v>105.7</v>
      </c>
      <c r="K158" s="24" t="n">
        <v>-25.9</v>
      </c>
      <c r="L158" s="24" t="n">
        <v>-1295</v>
      </c>
      <c r="M158" s="24" t="n">
        <v>-0.27</v>
      </c>
      <c r="N158" s="24" t="n">
        <v>50</v>
      </c>
      <c r="O158" s="5" t="str">
        <f aca="false">IF(ABS((J158-I158)-K158)&lt;=0.051,"OK","MISMATCH")</f>
        <v>OK</v>
      </c>
      <c r="P158" s="5" t="str">
        <f aca="false">IF(ABS(IF(C158="Buy",1,-1)*(J158-I158)*N158-L158)&lt;=1.01,"OK","MISMATCH")</f>
        <v>OK</v>
      </c>
    </row>
    <row r="159" customFormat="false" ht="15" hidden="false" customHeight="false" outlineLevel="0" collapsed="false">
      <c r="A159" s="5" t="n">
        <v>40</v>
      </c>
      <c r="B159" s="5" t="n">
        <v>334</v>
      </c>
      <c r="C159" s="5" t="s">
        <v>143</v>
      </c>
      <c r="D159" s="5" t="s">
        <v>144</v>
      </c>
      <c r="E159" s="5" t="n">
        <v>23100</v>
      </c>
      <c r="F159" s="27" t="n">
        <v>45442</v>
      </c>
      <c r="G159" s="28" t="n">
        <v>45397.4694444445</v>
      </c>
      <c r="H159" s="28" t="n">
        <v>45427.6361111111</v>
      </c>
      <c r="I159" s="24" t="n">
        <v>160.8</v>
      </c>
      <c r="J159" s="24" t="n">
        <v>21.6</v>
      </c>
      <c r="K159" s="24" t="n">
        <v>-139.2</v>
      </c>
      <c r="L159" s="24" t="n">
        <v>6959</v>
      </c>
      <c r="M159" s="24" t="n">
        <v>-0.08</v>
      </c>
      <c r="N159" s="24" t="n">
        <v>50</v>
      </c>
      <c r="O159" s="5" t="str">
        <f aca="false">IF(ABS((J159-I159)-K159)&lt;=0.051,"OK","MISMATCH")</f>
        <v>OK</v>
      </c>
      <c r="P159" s="5" t="str">
        <f aca="false">IF(ABS(IF(C159="Buy",1,-1)*(J159-I159)*N159-L159)&lt;=1.01,"OK","MISMATCH")</f>
        <v>OK</v>
      </c>
    </row>
    <row r="160" customFormat="false" ht="15" hidden="false" customHeight="false" outlineLevel="0" collapsed="false">
      <c r="A160" s="5" t="n">
        <v>40</v>
      </c>
      <c r="B160" s="5" t="n">
        <v>335</v>
      </c>
      <c r="C160" s="5" t="s">
        <v>141</v>
      </c>
      <c r="D160" s="5" t="s">
        <v>144</v>
      </c>
      <c r="E160" s="5" t="n">
        <v>23300</v>
      </c>
      <c r="F160" s="27" t="n">
        <v>45442</v>
      </c>
      <c r="G160" s="28" t="n">
        <v>45397.4694444445</v>
      </c>
      <c r="H160" s="28" t="n">
        <v>45427.6361111111</v>
      </c>
      <c r="I160" s="24" t="n">
        <v>104.3</v>
      </c>
      <c r="J160" s="24" t="n">
        <v>11.9</v>
      </c>
      <c r="K160" s="24" t="n">
        <v>-92.4</v>
      </c>
      <c r="L160" s="24" t="n">
        <v>-4620</v>
      </c>
      <c r="M160" s="24" t="n">
        <v>0.05</v>
      </c>
      <c r="N160" s="24" t="n">
        <v>50</v>
      </c>
      <c r="O160" s="5" t="str">
        <f aca="false">IF(ABS((J160-I160)-K160)&lt;=0.051,"OK","MISMATCH")</f>
        <v>OK</v>
      </c>
      <c r="P160" s="5" t="str">
        <f aca="false">IF(ABS(IF(C160="Buy",1,-1)*(J160-I160)*N160-L160)&lt;=1.01,"OK","MISMATCH")</f>
        <v>OK</v>
      </c>
    </row>
    <row r="161" customFormat="false" ht="15" hidden="false" customHeight="false" outlineLevel="0" collapsed="false">
      <c r="A161" s="5" t="n">
        <v>40</v>
      </c>
      <c r="B161" s="5" t="n">
        <v>336</v>
      </c>
      <c r="C161" s="5" t="s">
        <v>143</v>
      </c>
      <c r="D161" s="5" t="s">
        <v>142</v>
      </c>
      <c r="E161" s="5" t="n">
        <v>22100</v>
      </c>
      <c r="F161" s="27" t="n">
        <v>45442</v>
      </c>
      <c r="G161" s="28" t="n">
        <v>45397.4694444445</v>
      </c>
      <c r="H161" s="28" t="n">
        <v>45427.6361111111</v>
      </c>
      <c r="I161" s="24" t="n">
        <v>177.1</v>
      </c>
      <c r="J161" s="24" t="n">
        <v>165</v>
      </c>
      <c r="K161" s="24" t="n">
        <v>-12.1</v>
      </c>
      <c r="L161" s="24" t="n">
        <v>605</v>
      </c>
      <c r="M161" s="24" t="n">
        <v>0.38</v>
      </c>
      <c r="N161" s="24" t="n">
        <v>50</v>
      </c>
      <c r="O161" s="5" t="str">
        <f aca="false">IF(ABS((J161-I161)-K161)&lt;=0.051,"OK","MISMATCH")</f>
        <v>OK</v>
      </c>
      <c r="P161" s="5" t="str">
        <f aca="false">IF(ABS(IF(C161="Buy",1,-1)*(J161-I161)*N161-L161)&lt;=1.01,"OK","MISMATCH")</f>
        <v>OK</v>
      </c>
    </row>
    <row r="162" customFormat="false" ht="15" hidden="false" customHeight="false" outlineLevel="0" collapsed="false">
      <c r="A162" s="5" t="n">
        <v>41</v>
      </c>
      <c r="B162" s="5" t="n">
        <v>341</v>
      </c>
      <c r="C162" s="5" t="s">
        <v>143</v>
      </c>
      <c r="D162" s="5" t="s">
        <v>142</v>
      </c>
      <c r="E162" s="5" t="n">
        <v>21300</v>
      </c>
      <c r="F162" s="27" t="n">
        <v>45470</v>
      </c>
      <c r="G162" s="28" t="n">
        <v>45425.4694444445</v>
      </c>
      <c r="H162" s="28" t="n">
        <v>45455.6361111111</v>
      </c>
      <c r="I162" s="24" t="n">
        <v>346.9</v>
      </c>
      <c r="J162" s="24" t="n">
        <v>7.3</v>
      </c>
      <c r="K162" s="24" t="n">
        <v>-339.6</v>
      </c>
      <c r="L162" s="24" t="n">
        <v>16980</v>
      </c>
      <c r="M162" s="24" t="n">
        <v>0.02</v>
      </c>
      <c r="N162" s="24" t="n">
        <v>50</v>
      </c>
      <c r="O162" s="5" t="str">
        <f aca="false">IF(ABS((J162-I162)-K162)&lt;=0.051,"OK","MISMATCH")</f>
        <v>OK</v>
      </c>
      <c r="P162" s="5" t="str">
        <f aca="false">IF(ABS(IF(C162="Buy",1,-1)*(J162-I162)*N162-L162)&lt;=1.01,"OK","MISMATCH")</f>
        <v>OK</v>
      </c>
    </row>
    <row r="163" customFormat="false" ht="15" hidden="false" customHeight="false" outlineLevel="0" collapsed="false">
      <c r="A163" s="5" t="n">
        <v>41</v>
      </c>
      <c r="B163" s="5" t="n">
        <v>342</v>
      </c>
      <c r="C163" s="5" t="s">
        <v>141</v>
      </c>
      <c r="D163" s="5" t="s">
        <v>142</v>
      </c>
      <c r="E163" s="5" t="n">
        <v>21100</v>
      </c>
      <c r="F163" s="27" t="n">
        <v>45470</v>
      </c>
      <c r="G163" s="28" t="n">
        <v>45425.4694444445</v>
      </c>
      <c r="H163" s="28" t="n">
        <v>45455.6361111111</v>
      </c>
      <c r="I163" s="24" t="n">
        <v>295.9</v>
      </c>
      <c r="J163" s="24" t="n">
        <v>6.2</v>
      </c>
      <c r="K163" s="24" t="n">
        <v>-289.7</v>
      </c>
      <c r="L163" s="24" t="n">
        <v>-14485</v>
      </c>
      <c r="M163" s="24" t="n">
        <v>-0.02</v>
      </c>
      <c r="N163" s="24" t="n">
        <v>50</v>
      </c>
      <c r="O163" s="5" t="str">
        <f aca="false">IF(ABS((J163-I163)-K163)&lt;=0.051,"OK","MISMATCH")</f>
        <v>OK</v>
      </c>
      <c r="P163" s="5" t="str">
        <f aca="false">IF(ABS(IF(C163="Buy",1,-1)*(J163-I163)*N163-L163)&lt;=1.01,"OK","MISMATCH")</f>
        <v>OK</v>
      </c>
    </row>
    <row r="164" customFormat="false" ht="15" hidden="false" customHeight="false" outlineLevel="0" collapsed="false">
      <c r="A164" s="5" t="n">
        <v>41</v>
      </c>
      <c r="B164" s="5" t="n">
        <v>343</v>
      </c>
      <c r="C164" s="5" t="s">
        <v>143</v>
      </c>
      <c r="D164" s="5" t="s">
        <v>144</v>
      </c>
      <c r="E164" s="5" t="n">
        <v>23000</v>
      </c>
      <c r="F164" s="27" t="n">
        <v>45470</v>
      </c>
      <c r="G164" s="28" t="n">
        <v>45425.4694444445</v>
      </c>
      <c r="H164" s="28" t="n">
        <v>45455.6361111111</v>
      </c>
      <c r="I164" s="24" t="n">
        <v>285.2</v>
      </c>
      <c r="J164" s="24" t="n">
        <v>472.4</v>
      </c>
      <c r="K164" s="24" t="n">
        <v>187.2</v>
      </c>
      <c r="L164" s="24" t="n">
        <v>-9360</v>
      </c>
      <c r="M164" s="24" t="n">
        <v>-0.72</v>
      </c>
      <c r="N164" s="24" t="n">
        <v>50</v>
      </c>
      <c r="O164" s="5" t="str">
        <f aca="false">IF(ABS((J164-I164)-K164)&lt;=0.051,"OK","MISMATCH")</f>
        <v>OK</v>
      </c>
      <c r="P164" s="5" t="str">
        <f aca="false">IF(ABS(IF(C164="Buy",1,-1)*(J164-I164)*N164-L164)&lt;=1.01,"OK","MISMATCH")</f>
        <v>OK</v>
      </c>
    </row>
    <row r="165" customFormat="false" ht="15" hidden="false" customHeight="false" outlineLevel="0" collapsed="false">
      <c r="A165" s="5" t="n">
        <v>41</v>
      </c>
      <c r="B165" s="5" t="n">
        <v>344</v>
      </c>
      <c r="C165" s="5" t="s">
        <v>141</v>
      </c>
      <c r="D165" s="5" t="s">
        <v>144</v>
      </c>
      <c r="E165" s="5" t="n">
        <v>23200</v>
      </c>
      <c r="F165" s="27" t="n">
        <v>45470</v>
      </c>
      <c r="G165" s="28" t="n">
        <v>45425.4694444445</v>
      </c>
      <c r="H165" s="28" t="n">
        <v>45455.6361111111</v>
      </c>
      <c r="I165" s="24" t="n">
        <v>225.5</v>
      </c>
      <c r="J165" s="24" t="n">
        <v>335.4</v>
      </c>
      <c r="K165" s="24" t="n">
        <v>109.9</v>
      </c>
      <c r="L165" s="24" t="n">
        <v>5495</v>
      </c>
      <c r="M165" s="24" t="n">
        <v>0.61</v>
      </c>
      <c r="N165" s="24" t="n">
        <v>50</v>
      </c>
      <c r="O165" s="5" t="str">
        <f aca="false">IF(ABS((J165-I165)-K165)&lt;=0.051,"OK","MISMATCH")</f>
        <v>OK</v>
      </c>
      <c r="P165" s="5" t="str">
        <f aca="false">IF(ABS(IF(C165="Buy",1,-1)*(J165-I165)*N165-L165)&lt;=1.01,"OK","MISMATCH")</f>
        <v>OK</v>
      </c>
    </row>
    <row r="166" customFormat="false" ht="15" hidden="false" customHeight="false" outlineLevel="0" collapsed="false">
      <c r="A166" s="5" t="n">
        <v>42</v>
      </c>
      <c r="B166" s="5" t="n">
        <v>349</v>
      </c>
      <c r="C166" s="5" t="s">
        <v>141</v>
      </c>
      <c r="D166" s="5" t="s">
        <v>142</v>
      </c>
      <c r="E166" s="5" t="n">
        <v>22600</v>
      </c>
      <c r="F166" s="27" t="n">
        <v>45498</v>
      </c>
      <c r="G166" s="28" t="n">
        <v>45453.4694444445</v>
      </c>
      <c r="H166" s="28" t="n">
        <v>45483.6361111111</v>
      </c>
      <c r="I166" s="24" t="n">
        <v>207.3</v>
      </c>
      <c r="J166" s="24" t="n">
        <v>10.7</v>
      </c>
      <c r="K166" s="24" t="n">
        <v>-196.6</v>
      </c>
      <c r="L166" s="24" t="n">
        <v>-9830</v>
      </c>
      <c r="M166" s="24" t="n">
        <v>-0.03</v>
      </c>
      <c r="N166" s="24" t="n">
        <v>50</v>
      </c>
      <c r="O166" s="5" t="str">
        <f aca="false">IF(ABS((J166-I166)-K166)&lt;=0.051,"OK","MISMATCH")</f>
        <v>OK</v>
      </c>
      <c r="P166" s="5" t="str">
        <f aca="false">IF(ABS(IF(C166="Buy",1,-1)*(J166-I166)*N166-L166)&lt;=1.01,"OK","MISMATCH")</f>
        <v>OK</v>
      </c>
    </row>
    <row r="167" customFormat="false" ht="15" hidden="false" customHeight="false" outlineLevel="0" collapsed="false">
      <c r="A167" s="5" t="n">
        <v>42</v>
      </c>
      <c r="B167" s="5" t="n">
        <v>350</v>
      </c>
      <c r="C167" s="5" t="s">
        <v>143</v>
      </c>
      <c r="D167" s="5" t="s">
        <v>144</v>
      </c>
      <c r="E167" s="5" t="n">
        <v>24100</v>
      </c>
      <c r="F167" s="27" t="n">
        <v>45498</v>
      </c>
      <c r="G167" s="28" t="n">
        <v>45453.4694444445</v>
      </c>
      <c r="H167" s="28" t="n">
        <v>45483.6361111111</v>
      </c>
      <c r="I167" s="24" t="n">
        <v>222.1</v>
      </c>
      <c r="J167" s="24" t="n">
        <v>426</v>
      </c>
      <c r="K167" s="24" t="n">
        <v>203.9</v>
      </c>
      <c r="L167" s="24" t="n">
        <v>-10195</v>
      </c>
      <c r="M167" s="24" t="n">
        <v>-0.65</v>
      </c>
      <c r="N167" s="24" t="n">
        <v>50</v>
      </c>
      <c r="O167" s="5" t="str">
        <f aca="false">IF(ABS((J167-I167)-K167)&lt;=0.051,"OK","MISMATCH")</f>
        <v>OK</v>
      </c>
      <c r="P167" s="5" t="str">
        <f aca="false">IF(ABS(IF(C167="Buy",1,-1)*(J167-I167)*N167-L167)&lt;=1.01,"OK","MISMATCH")</f>
        <v>OK</v>
      </c>
    </row>
    <row r="168" customFormat="false" ht="15" hidden="false" customHeight="false" outlineLevel="0" collapsed="false">
      <c r="A168" s="5" t="n">
        <v>42</v>
      </c>
      <c r="B168" s="5" t="n">
        <v>351</v>
      </c>
      <c r="C168" s="5" t="s">
        <v>141</v>
      </c>
      <c r="D168" s="5" t="s">
        <v>144</v>
      </c>
      <c r="E168" s="5" t="n">
        <v>24300</v>
      </c>
      <c r="F168" s="27" t="n">
        <v>45498</v>
      </c>
      <c r="G168" s="28" t="n">
        <v>45453.4694444445</v>
      </c>
      <c r="H168" s="28" t="n">
        <v>45483.6361111111</v>
      </c>
      <c r="I168" s="24" t="n">
        <v>161.1</v>
      </c>
      <c r="J168" s="24" t="n">
        <v>308</v>
      </c>
      <c r="K168" s="24" t="n">
        <v>146.9</v>
      </c>
      <c r="L168" s="24" t="n">
        <v>7345</v>
      </c>
      <c r="M168" s="24" t="n">
        <v>0.54</v>
      </c>
      <c r="N168" s="24" t="n">
        <v>50</v>
      </c>
      <c r="O168" s="5" t="str">
        <f aca="false">IF(ABS((J168-I168)-K168)&lt;=0.051,"OK","MISMATCH")</f>
        <v>OK</v>
      </c>
      <c r="P168" s="5" t="str">
        <f aca="false">IF(ABS(IF(C168="Buy",1,-1)*(J168-I168)*N168-L168)&lt;=1.01,"OK","MISMATCH")</f>
        <v>OK</v>
      </c>
    </row>
    <row r="169" customFormat="false" ht="15" hidden="false" customHeight="false" outlineLevel="0" collapsed="false">
      <c r="A169" s="5" t="n">
        <v>42</v>
      </c>
      <c r="B169" s="5" t="n">
        <v>352</v>
      </c>
      <c r="C169" s="5" t="s">
        <v>143</v>
      </c>
      <c r="D169" s="5" t="s">
        <v>142</v>
      </c>
      <c r="E169" s="5" t="n">
        <v>22800</v>
      </c>
      <c r="F169" s="27" t="n">
        <v>45498</v>
      </c>
      <c r="G169" s="28" t="n">
        <v>45453.4694444445</v>
      </c>
      <c r="H169" s="28" t="n">
        <v>45483.6361111111</v>
      </c>
      <c r="I169" s="24" t="n">
        <v>255.4</v>
      </c>
      <c r="J169" s="24" t="n">
        <v>13.5</v>
      </c>
      <c r="K169" s="24" t="n">
        <v>-241.9</v>
      </c>
      <c r="L169" s="24" t="n">
        <v>12095</v>
      </c>
      <c r="M169" s="24" t="n">
        <v>0.04</v>
      </c>
      <c r="N169" s="24" t="n">
        <v>50</v>
      </c>
      <c r="O169" s="5" t="str">
        <f aca="false">IF(ABS((J169-I169)-K169)&lt;=0.051,"OK","MISMATCH")</f>
        <v>OK</v>
      </c>
      <c r="P169" s="5" t="str">
        <f aca="false">IF(ABS(IF(C169="Buy",1,-1)*(J169-I169)*N169-L169)&lt;=1.01,"OK","MISMATCH")</f>
        <v>OK</v>
      </c>
    </row>
    <row r="170" customFormat="false" ht="15" hidden="false" customHeight="false" outlineLevel="0" collapsed="false">
      <c r="A170" s="5" t="n">
        <v>43</v>
      </c>
      <c r="B170" s="5" t="n">
        <v>357</v>
      </c>
      <c r="C170" s="5" t="s">
        <v>143</v>
      </c>
      <c r="D170" s="5" t="s">
        <v>142</v>
      </c>
      <c r="E170" s="5" t="n">
        <v>24100</v>
      </c>
      <c r="F170" s="27" t="n">
        <v>45533</v>
      </c>
      <c r="G170" s="28" t="n">
        <v>45488.4694444445</v>
      </c>
      <c r="H170" s="28" t="n">
        <v>45518.6361111111</v>
      </c>
      <c r="I170" s="24" t="n">
        <v>231</v>
      </c>
      <c r="J170" s="24" t="n">
        <v>229.7</v>
      </c>
      <c r="K170" s="24" t="n">
        <v>-1.3</v>
      </c>
      <c r="L170" s="24" t="n">
        <v>65</v>
      </c>
      <c r="M170" s="24" t="n">
        <v>0.45</v>
      </c>
      <c r="N170" s="24" t="n">
        <v>50</v>
      </c>
      <c r="O170" s="5" t="str">
        <f aca="false">IF(ABS((J170-I170)-K170)&lt;=0.051,"OK","MISMATCH")</f>
        <v>OK</v>
      </c>
      <c r="P170" s="5" t="str">
        <f aca="false">IF(ABS(IF(C170="Buy",1,-1)*(J170-I170)*N170-L170)&lt;=1.01,"OK","MISMATCH")</f>
        <v>OK</v>
      </c>
    </row>
    <row r="171" customFormat="false" ht="15" hidden="false" customHeight="false" outlineLevel="0" collapsed="false">
      <c r="A171" s="5" t="n">
        <v>43</v>
      </c>
      <c r="B171" s="5" t="n">
        <v>358</v>
      </c>
      <c r="C171" s="5" t="s">
        <v>141</v>
      </c>
      <c r="D171" s="5" t="s">
        <v>142</v>
      </c>
      <c r="E171" s="5" t="n">
        <v>23900</v>
      </c>
      <c r="F171" s="27" t="n">
        <v>45533</v>
      </c>
      <c r="G171" s="28" t="n">
        <v>45488.4694444445</v>
      </c>
      <c r="H171" s="28" t="n">
        <v>45518.6361111111</v>
      </c>
      <c r="I171" s="24" t="n">
        <v>183</v>
      </c>
      <c r="J171" s="24" t="n">
        <v>162</v>
      </c>
      <c r="K171" s="24" t="n">
        <v>-21</v>
      </c>
      <c r="L171" s="24" t="n">
        <v>-1050</v>
      </c>
      <c r="M171" s="24" t="n">
        <v>-0.34</v>
      </c>
      <c r="N171" s="24" t="n">
        <v>50</v>
      </c>
      <c r="O171" s="5" t="str">
        <f aca="false">IF(ABS((J171-I171)-K171)&lt;=0.051,"OK","MISMATCH")</f>
        <v>OK</v>
      </c>
      <c r="P171" s="5" t="str">
        <f aca="false">IF(ABS(IF(C171="Buy",1,-1)*(J171-I171)*N171-L171)&lt;=1.01,"OK","MISMATCH")</f>
        <v>OK</v>
      </c>
    </row>
    <row r="172" customFormat="false" ht="15" hidden="false" customHeight="false" outlineLevel="0" collapsed="false">
      <c r="A172" s="5" t="n">
        <v>43</v>
      </c>
      <c r="B172" s="5" t="n">
        <v>359</v>
      </c>
      <c r="C172" s="5" t="s">
        <v>143</v>
      </c>
      <c r="D172" s="5" t="s">
        <v>144</v>
      </c>
      <c r="E172" s="5" t="n">
        <v>25300</v>
      </c>
      <c r="F172" s="27" t="n">
        <v>45533</v>
      </c>
      <c r="G172" s="28" t="n">
        <v>45488.4694444445</v>
      </c>
      <c r="H172" s="28" t="n">
        <v>45518.6361111111</v>
      </c>
      <c r="I172" s="24" t="n">
        <v>207.5</v>
      </c>
      <c r="J172" s="24" t="n">
        <v>8.8</v>
      </c>
      <c r="K172" s="24" t="n">
        <v>-198.7</v>
      </c>
      <c r="L172" s="24" t="n">
        <v>9935</v>
      </c>
      <c r="M172" s="24" t="n">
        <v>-0.04</v>
      </c>
      <c r="N172" s="24" t="n">
        <v>50</v>
      </c>
      <c r="O172" s="5" t="str">
        <f aca="false">IF(ABS((J172-I172)-K172)&lt;=0.051,"OK","MISMATCH")</f>
        <v>OK</v>
      </c>
      <c r="P172" s="5" t="str">
        <f aca="false">IF(ABS(IF(C172="Buy",1,-1)*(J172-I172)*N172-L172)&lt;=1.01,"OK","MISMATCH")</f>
        <v>OK</v>
      </c>
    </row>
    <row r="173" customFormat="false" ht="15" hidden="false" customHeight="false" outlineLevel="0" collapsed="false">
      <c r="A173" s="5" t="n">
        <v>43</v>
      </c>
      <c r="B173" s="5" t="n">
        <v>360</v>
      </c>
      <c r="C173" s="5" t="s">
        <v>141</v>
      </c>
      <c r="D173" s="5" t="s">
        <v>144</v>
      </c>
      <c r="E173" s="5" t="n">
        <v>25500</v>
      </c>
      <c r="F173" s="27" t="n">
        <v>45533</v>
      </c>
      <c r="G173" s="28" t="n">
        <v>45488.4694444445</v>
      </c>
      <c r="H173" s="28" t="n">
        <v>45518.6361111111</v>
      </c>
      <c r="I173" s="24" t="n">
        <v>150</v>
      </c>
      <c r="J173" s="24" t="n">
        <v>6.3</v>
      </c>
      <c r="K173" s="24" t="n">
        <v>-143.7</v>
      </c>
      <c r="L173" s="24" t="n">
        <v>-7184</v>
      </c>
      <c r="M173" s="24" t="n">
        <v>0.03</v>
      </c>
      <c r="N173" s="24" t="n">
        <v>50</v>
      </c>
      <c r="O173" s="5" t="str">
        <f aca="false">IF(ABS((J173-I173)-K173)&lt;=0.051,"OK","MISMATCH")</f>
        <v>OK</v>
      </c>
      <c r="P173" s="5" t="str">
        <f aca="false">IF(ABS(IF(C173="Buy",1,-1)*(J173-I173)*N173-L173)&lt;=1.01,"OK","MISMATCH")</f>
        <v>OK</v>
      </c>
    </row>
    <row r="174" customFormat="false" ht="15" hidden="false" customHeight="false" outlineLevel="0" collapsed="false">
      <c r="A174" s="5" t="n">
        <v>44</v>
      </c>
      <c r="B174" s="5" t="n">
        <v>365</v>
      </c>
      <c r="C174" s="5" t="s">
        <v>143</v>
      </c>
      <c r="D174" s="5" t="s">
        <v>142</v>
      </c>
      <c r="E174" s="5" t="n">
        <v>24000</v>
      </c>
      <c r="F174" s="27" t="n">
        <v>45561</v>
      </c>
      <c r="G174" s="28" t="n">
        <v>45516.4694444445</v>
      </c>
      <c r="H174" s="28" t="n">
        <v>45546.6361111111</v>
      </c>
      <c r="I174" s="24" t="n">
        <v>260</v>
      </c>
      <c r="J174" s="24" t="n">
        <v>43.8</v>
      </c>
      <c r="K174" s="24" t="n">
        <v>-216.2</v>
      </c>
      <c r="L174" s="24" t="n">
        <v>10810</v>
      </c>
      <c r="M174" s="24" t="n">
        <v>0.11</v>
      </c>
      <c r="N174" s="24" t="n">
        <v>50</v>
      </c>
      <c r="O174" s="5" t="str">
        <f aca="false">IF(ABS((J174-I174)-K174)&lt;=0.051,"OK","MISMATCH")</f>
        <v>OK</v>
      </c>
      <c r="P174" s="5" t="str">
        <f aca="false">IF(ABS(IF(C174="Buy",1,-1)*(J174-I174)*N174-L174)&lt;=1.01,"OK","MISMATCH")</f>
        <v>OK</v>
      </c>
    </row>
    <row r="175" customFormat="false" ht="15" hidden="false" customHeight="false" outlineLevel="0" collapsed="false">
      <c r="A175" s="5" t="n">
        <v>44</v>
      </c>
      <c r="B175" s="5" t="n">
        <v>366</v>
      </c>
      <c r="C175" s="5" t="s">
        <v>141</v>
      </c>
      <c r="D175" s="5" t="s">
        <v>142</v>
      </c>
      <c r="E175" s="5" t="n">
        <v>23800</v>
      </c>
      <c r="F175" s="27" t="n">
        <v>45561</v>
      </c>
      <c r="G175" s="28" t="n">
        <v>45516.4694444445</v>
      </c>
      <c r="H175" s="28" t="n">
        <v>45546.6361111111</v>
      </c>
      <c r="I175" s="24" t="n">
        <v>211.9</v>
      </c>
      <c r="J175" s="24" t="n">
        <v>30.2</v>
      </c>
      <c r="K175" s="24" t="n">
        <v>-181.7</v>
      </c>
      <c r="L175" s="24" t="n">
        <v>-9085</v>
      </c>
      <c r="M175" s="24" t="n">
        <v>-0.08</v>
      </c>
      <c r="N175" s="24" t="n">
        <v>50</v>
      </c>
      <c r="O175" s="5" t="str">
        <f aca="false">IF(ABS((J175-I175)-K175)&lt;=0.051,"OK","MISMATCH")</f>
        <v>OK</v>
      </c>
      <c r="P175" s="5" t="str">
        <f aca="false">IF(ABS(IF(C175="Buy",1,-1)*(J175-I175)*N175-L175)&lt;=1.01,"OK","MISMATCH")</f>
        <v>OK</v>
      </c>
    </row>
    <row r="176" customFormat="false" ht="15" hidden="false" customHeight="false" outlineLevel="0" collapsed="false">
      <c r="A176" s="5" t="n">
        <v>44</v>
      </c>
      <c r="B176" s="5" t="n">
        <v>367</v>
      </c>
      <c r="C176" s="5" t="s">
        <v>143</v>
      </c>
      <c r="D176" s="5" t="s">
        <v>144</v>
      </c>
      <c r="E176" s="5" t="n">
        <v>25200</v>
      </c>
      <c r="F176" s="27" t="n">
        <v>45561</v>
      </c>
      <c r="G176" s="28" t="n">
        <v>45516.4694444445</v>
      </c>
      <c r="H176" s="28" t="n">
        <v>45546.6361111111</v>
      </c>
      <c r="I176" s="24" t="n">
        <v>223.5</v>
      </c>
      <c r="J176" s="24" t="n">
        <v>135.2</v>
      </c>
      <c r="K176" s="24" t="n">
        <v>-88.3</v>
      </c>
      <c r="L176" s="24" t="n">
        <v>4415</v>
      </c>
      <c r="M176" s="24" t="n">
        <v>-0.34</v>
      </c>
      <c r="N176" s="24" t="n">
        <v>50</v>
      </c>
      <c r="O176" s="5" t="str">
        <f aca="false">IF(ABS((J176-I176)-K176)&lt;=0.051,"OK","MISMATCH")</f>
        <v>OK</v>
      </c>
      <c r="P176" s="5" t="str">
        <f aca="false">IF(ABS(IF(C176="Buy",1,-1)*(J176-I176)*N176-L176)&lt;=1.01,"OK","MISMATCH")</f>
        <v>OK</v>
      </c>
    </row>
    <row r="177" customFormat="false" ht="15" hidden="false" customHeight="false" outlineLevel="0" collapsed="false">
      <c r="A177" s="5" t="n">
        <v>44</v>
      </c>
      <c r="B177" s="5" t="n">
        <v>368</v>
      </c>
      <c r="C177" s="5" t="s">
        <v>141</v>
      </c>
      <c r="D177" s="5" t="s">
        <v>144</v>
      </c>
      <c r="E177" s="5" t="n">
        <v>25400</v>
      </c>
      <c r="F177" s="27" t="n">
        <v>45561</v>
      </c>
      <c r="G177" s="28" t="n">
        <v>45516.4694444445</v>
      </c>
      <c r="H177" s="28" t="n">
        <v>45546.6361111111</v>
      </c>
      <c r="I177" s="24" t="n">
        <v>162.9</v>
      </c>
      <c r="J177" s="24" t="n">
        <v>74.8</v>
      </c>
      <c r="K177" s="24" t="n">
        <v>-88.1</v>
      </c>
      <c r="L177" s="24" t="n">
        <v>-4405</v>
      </c>
      <c r="M177" s="24" t="n">
        <v>0.22</v>
      </c>
      <c r="N177" s="24" t="n">
        <v>50</v>
      </c>
      <c r="O177" s="5" t="str">
        <f aca="false">IF(ABS((J177-I177)-K177)&lt;=0.051,"OK","MISMATCH")</f>
        <v>OK</v>
      </c>
      <c r="P177" s="5" t="str">
        <f aca="false">IF(ABS(IF(C177="Buy",1,-1)*(J177-I177)*N177-L177)&lt;=1.01,"OK","MISMATCH")</f>
        <v>OK</v>
      </c>
    </row>
    <row r="178" customFormat="false" ht="15" hidden="false" customHeight="false" outlineLevel="0" collapsed="false">
      <c r="A178" s="5" t="n">
        <v>45</v>
      </c>
      <c r="B178" s="5" t="n">
        <v>373</v>
      </c>
      <c r="C178" s="5" t="s">
        <v>141</v>
      </c>
      <c r="D178" s="5" t="s">
        <v>142</v>
      </c>
      <c r="E178" s="5" t="n">
        <v>24800</v>
      </c>
      <c r="F178" s="27" t="n">
        <v>45596</v>
      </c>
      <c r="G178" s="28" t="n">
        <v>45551.4694444445</v>
      </c>
      <c r="H178" s="28" t="n">
        <v>45581.6361111111</v>
      </c>
      <c r="I178" s="24" t="n">
        <v>179.3</v>
      </c>
      <c r="J178" s="24" t="n">
        <v>135.1</v>
      </c>
      <c r="K178" s="24" t="n">
        <v>-44.2</v>
      </c>
      <c r="L178" s="24" t="n">
        <v>-2210</v>
      </c>
      <c r="M178" s="24" t="n">
        <v>-0.33</v>
      </c>
      <c r="N178" s="24" t="n">
        <v>50</v>
      </c>
      <c r="O178" s="5" t="str">
        <f aca="false">IF(ABS((J178-I178)-K178)&lt;=0.051,"OK","MISMATCH")</f>
        <v>OK</v>
      </c>
      <c r="P178" s="5" t="str">
        <f aca="false">IF(ABS(IF(C178="Buy",1,-1)*(J178-I178)*N178-L178)&lt;=1.01,"OK","MISMATCH")</f>
        <v>OK</v>
      </c>
    </row>
    <row r="179" customFormat="false" ht="15" hidden="false" customHeight="false" outlineLevel="0" collapsed="false">
      <c r="A179" s="5" t="n">
        <v>45</v>
      </c>
      <c r="B179" s="5" t="n">
        <v>374</v>
      </c>
      <c r="C179" s="5" t="s">
        <v>143</v>
      </c>
      <c r="D179" s="5" t="s">
        <v>144</v>
      </c>
      <c r="E179" s="5" t="n">
        <v>26050</v>
      </c>
      <c r="F179" s="27" t="n">
        <v>45596</v>
      </c>
      <c r="G179" s="28" t="n">
        <v>45551.4694444445</v>
      </c>
      <c r="H179" s="28" t="n">
        <v>45581.6361111111</v>
      </c>
      <c r="I179" s="24" t="n">
        <v>187.4</v>
      </c>
      <c r="J179" s="24" t="n">
        <v>13.8</v>
      </c>
      <c r="K179" s="24" t="n">
        <v>-173.6</v>
      </c>
      <c r="L179" s="24" t="n">
        <v>8680</v>
      </c>
      <c r="M179" s="24" t="n">
        <v>-0.05</v>
      </c>
      <c r="N179" s="24" t="n">
        <v>50</v>
      </c>
      <c r="O179" s="5" t="str">
        <f aca="false">IF(ABS((J179-I179)-K179)&lt;=0.051,"OK","MISMATCH")</f>
        <v>OK</v>
      </c>
      <c r="P179" s="5" t="str">
        <f aca="false">IF(ABS(IF(C179="Buy",1,-1)*(J179-I179)*N179-L179)&lt;=1.01,"OK","MISMATCH")</f>
        <v>OK</v>
      </c>
    </row>
    <row r="180" customFormat="false" ht="15" hidden="false" customHeight="false" outlineLevel="0" collapsed="false">
      <c r="A180" s="5" t="n">
        <v>45</v>
      </c>
      <c r="B180" s="5" t="n">
        <v>375</v>
      </c>
      <c r="C180" s="5" t="s">
        <v>141</v>
      </c>
      <c r="D180" s="5" t="s">
        <v>144</v>
      </c>
      <c r="E180" s="5" t="n">
        <v>26250</v>
      </c>
      <c r="F180" s="27" t="n">
        <v>45596</v>
      </c>
      <c r="G180" s="28" t="n">
        <v>45551.4694444445</v>
      </c>
      <c r="H180" s="28" t="n">
        <v>45581.6361111111</v>
      </c>
      <c r="I180" s="24" t="n">
        <v>137.1</v>
      </c>
      <c r="J180" s="24" t="n">
        <v>9.6</v>
      </c>
      <c r="K180" s="24" t="n">
        <v>-127.5</v>
      </c>
      <c r="L180" s="24" t="n">
        <v>-6375</v>
      </c>
      <c r="M180" s="24" t="n">
        <v>0.04</v>
      </c>
      <c r="N180" s="24" t="n">
        <v>50</v>
      </c>
      <c r="O180" s="5" t="str">
        <f aca="false">IF(ABS((J180-I180)-K180)&lt;=0.051,"OK","MISMATCH")</f>
        <v>OK</v>
      </c>
      <c r="P180" s="5" t="str">
        <f aca="false">IF(ABS(IF(C180="Buy",1,-1)*(J180-I180)*N180-L180)&lt;=1.01,"OK","MISMATCH")</f>
        <v>OK</v>
      </c>
    </row>
    <row r="181" customFormat="false" ht="15" hidden="false" customHeight="false" outlineLevel="0" collapsed="false">
      <c r="A181" s="5" t="n">
        <v>45</v>
      </c>
      <c r="B181" s="5" t="n">
        <v>376</v>
      </c>
      <c r="C181" s="5" t="s">
        <v>143</v>
      </c>
      <c r="D181" s="5" t="s">
        <v>142</v>
      </c>
      <c r="E181" s="5" t="n">
        <v>25000</v>
      </c>
      <c r="F181" s="27" t="n">
        <v>45596</v>
      </c>
      <c r="G181" s="28" t="n">
        <v>45551.4694444445</v>
      </c>
      <c r="H181" s="28" t="n">
        <v>45581.6361111111</v>
      </c>
      <c r="I181" s="24" t="n">
        <v>226.2</v>
      </c>
      <c r="J181" s="24" t="n">
        <v>207</v>
      </c>
      <c r="K181" s="24" t="n">
        <v>-19.2</v>
      </c>
      <c r="L181" s="24" t="n">
        <v>960</v>
      </c>
      <c r="M181" s="24" t="n">
        <v>0.46</v>
      </c>
      <c r="N181" s="24" t="n">
        <v>50</v>
      </c>
      <c r="O181" s="5" t="str">
        <f aca="false">IF(ABS((J181-I181)-K181)&lt;=0.051,"OK","MISMATCH")</f>
        <v>OK</v>
      </c>
      <c r="P181" s="5" t="str">
        <f aca="false">IF(ABS(IF(C181="Buy",1,-1)*(J181-I181)*N181-L181)&lt;=1.01,"OK","MISMATCH")</f>
        <v>OK</v>
      </c>
    </row>
    <row r="182" customFormat="false" ht="15" hidden="false" customHeight="false" outlineLevel="0" collapsed="false">
      <c r="A182" s="5" t="n">
        <v>46</v>
      </c>
      <c r="B182" s="5" t="n">
        <v>381</v>
      </c>
      <c r="C182" s="5" t="s">
        <v>141</v>
      </c>
      <c r="D182" s="5" t="s">
        <v>142</v>
      </c>
      <c r="E182" s="5" t="n">
        <v>24500</v>
      </c>
      <c r="F182" s="27" t="n">
        <v>45624</v>
      </c>
      <c r="G182" s="28" t="n">
        <v>45579.4694444445</v>
      </c>
      <c r="H182" s="28" t="n">
        <v>45609.6361111111</v>
      </c>
      <c r="I182" s="24" t="n">
        <v>185.1</v>
      </c>
      <c r="J182" s="24" t="n">
        <v>858.7</v>
      </c>
      <c r="K182" s="24" t="n">
        <v>673.6</v>
      </c>
      <c r="L182" s="24" t="n">
        <v>33680</v>
      </c>
      <c r="M182" s="24" t="n">
        <v>-0.9</v>
      </c>
      <c r="N182" s="24" t="n">
        <v>50</v>
      </c>
      <c r="O182" s="5" t="str">
        <f aca="false">IF(ABS((J182-I182)-K182)&lt;=0.051,"OK","MISMATCH")</f>
        <v>OK</v>
      </c>
      <c r="P182" s="5" t="str">
        <f aca="false">IF(ABS(IF(C182="Buy",1,-1)*(J182-I182)*N182-L182)&lt;=1.01,"OK","MISMATCH")</f>
        <v>OK</v>
      </c>
    </row>
    <row r="183" customFormat="false" ht="15" hidden="false" customHeight="false" outlineLevel="0" collapsed="false">
      <c r="A183" s="5" t="n">
        <v>46</v>
      </c>
      <c r="B183" s="5" t="n">
        <v>382</v>
      </c>
      <c r="C183" s="5" t="s">
        <v>143</v>
      </c>
      <c r="D183" s="5" t="s">
        <v>144</v>
      </c>
      <c r="E183" s="5" t="n">
        <v>26000</v>
      </c>
      <c r="F183" s="27" t="n">
        <v>45624</v>
      </c>
      <c r="G183" s="28" t="n">
        <v>45579.4694444445</v>
      </c>
      <c r="H183" s="28" t="n">
        <v>45609.6361111111</v>
      </c>
      <c r="I183" s="24" t="n">
        <v>192.2</v>
      </c>
      <c r="J183" s="24" t="n">
        <v>6.5</v>
      </c>
      <c r="K183" s="24" t="n">
        <v>-185.7</v>
      </c>
      <c r="L183" s="24" t="n">
        <v>9285</v>
      </c>
      <c r="M183" s="24" t="n">
        <v>-0.02</v>
      </c>
      <c r="N183" s="24" t="n">
        <v>50</v>
      </c>
      <c r="O183" s="5" t="str">
        <f aca="false">IF(ABS((J183-I183)-K183)&lt;=0.051,"OK","MISMATCH")</f>
        <v>OK</v>
      </c>
      <c r="P183" s="5" t="str">
        <f aca="false">IF(ABS(IF(C183="Buy",1,-1)*(J183-I183)*N183-L183)&lt;=1.01,"OK","MISMATCH")</f>
        <v>OK</v>
      </c>
    </row>
    <row r="184" customFormat="false" ht="15" hidden="false" customHeight="false" outlineLevel="0" collapsed="false">
      <c r="A184" s="5" t="n">
        <v>46</v>
      </c>
      <c r="B184" s="5" t="n">
        <v>383</v>
      </c>
      <c r="C184" s="5" t="s">
        <v>141</v>
      </c>
      <c r="D184" s="5" t="s">
        <v>144</v>
      </c>
      <c r="E184" s="5" t="n">
        <v>26200</v>
      </c>
      <c r="F184" s="27" t="n">
        <v>45624</v>
      </c>
      <c r="G184" s="28" t="n">
        <v>45579.4694444445</v>
      </c>
      <c r="H184" s="28" t="n">
        <v>45609.6361111111</v>
      </c>
      <c r="I184" s="24" t="n">
        <v>132.4</v>
      </c>
      <c r="J184" s="24" t="n">
        <v>6</v>
      </c>
      <c r="K184" s="24" t="n">
        <v>-126.4</v>
      </c>
      <c r="L184" s="24" t="n">
        <v>-6320</v>
      </c>
      <c r="M184" s="24" t="n">
        <v>0.02</v>
      </c>
      <c r="N184" s="24" t="n">
        <v>50</v>
      </c>
      <c r="O184" s="5" t="str">
        <f aca="false">IF(ABS((J184-I184)-K184)&lt;=0.051,"OK","MISMATCH")</f>
        <v>OK</v>
      </c>
      <c r="P184" s="5" t="str">
        <f aca="false">IF(ABS(IF(C184="Buy",1,-1)*(J184-I184)*N184-L184)&lt;=1.01,"OK","MISMATCH")</f>
        <v>OK</v>
      </c>
    </row>
    <row r="185" customFormat="false" ht="15" hidden="false" customHeight="false" outlineLevel="0" collapsed="false">
      <c r="A185" s="5" t="n">
        <v>46</v>
      </c>
      <c r="B185" s="5" t="n">
        <v>384</v>
      </c>
      <c r="C185" s="5" t="s">
        <v>143</v>
      </c>
      <c r="D185" s="5" t="s">
        <v>142</v>
      </c>
      <c r="E185" s="5" t="n">
        <v>24700</v>
      </c>
      <c r="F185" s="27" t="n">
        <v>45624</v>
      </c>
      <c r="G185" s="28" t="n">
        <v>45579.4694444445</v>
      </c>
      <c r="H185" s="28" t="n">
        <v>45609.6361111111</v>
      </c>
      <c r="I185" s="24" t="n">
        <v>230.2</v>
      </c>
      <c r="J185" s="24" t="n">
        <v>1068</v>
      </c>
      <c r="K185" s="24" t="n">
        <v>837.8</v>
      </c>
      <c r="L185" s="24" t="n">
        <v>-41890</v>
      </c>
      <c r="M185" s="24" t="n">
        <v>0.93</v>
      </c>
      <c r="N185" s="24" t="n">
        <v>50</v>
      </c>
      <c r="O185" s="5" t="str">
        <f aca="false">IF(ABS((J185-I185)-K185)&lt;=0.051,"OK","MISMATCH")</f>
        <v>OK</v>
      </c>
      <c r="P185" s="5" t="str">
        <f aca="false">IF(ABS(IF(C185="Buy",1,-1)*(J185-I185)*N185-L185)&lt;=1.01,"OK","MISMATCH")</f>
        <v>OK</v>
      </c>
    </row>
    <row r="186" customFormat="false" ht="15" hidden="false" customHeight="false" outlineLevel="0" collapsed="false">
      <c r="A186" s="5" t="n">
        <v>47</v>
      </c>
      <c r="B186" s="5" t="n">
        <v>389</v>
      </c>
      <c r="C186" s="5" t="s">
        <v>143</v>
      </c>
      <c r="D186" s="5" t="s">
        <v>142</v>
      </c>
      <c r="E186" s="5" t="n">
        <v>23900</v>
      </c>
      <c r="F186" s="27" t="n">
        <v>45652</v>
      </c>
      <c r="G186" s="28" t="n">
        <v>45607.4694444445</v>
      </c>
      <c r="H186" s="28" t="n">
        <v>45637.6361111111</v>
      </c>
      <c r="I186" s="24" t="n">
        <v>214.2</v>
      </c>
      <c r="J186" s="24" t="n">
        <v>44</v>
      </c>
      <c r="K186" s="24" t="n">
        <v>-170.2</v>
      </c>
      <c r="L186" s="24" t="n">
        <v>8510</v>
      </c>
      <c r="M186" s="24" t="n">
        <v>0.12</v>
      </c>
      <c r="N186" s="24" t="n">
        <v>50</v>
      </c>
      <c r="O186" s="5" t="str">
        <f aca="false">IF(ABS((J186-I186)-K186)&lt;=0.051,"OK","MISMATCH")</f>
        <v>OK</v>
      </c>
      <c r="P186" s="5" t="str">
        <f aca="false">IF(ABS(IF(C186="Buy",1,-1)*(J186-I186)*N186-L186)&lt;=1.01,"OK","MISMATCH")</f>
        <v>OK</v>
      </c>
    </row>
    <row r="187" customFormat="false" ht="15" hidden="false" customHeight="false" outlineLevel="0" collapsed="false">
      <c r="A187" s="5" t="n">
        <v>47</v>
      </c>
      <c r="B187" s="5" t="n">
        <v>390</v>
      </c>
      <c r="C187" s="5" t="s">
        <v>141</v>
      </c>
      <c r="D187" s="5" t="s">
        <v>142</v>
      </c>
      <c r="E187" s="5" t="n">
        <v>23700</v>
      </c>
      <c r="F187" s="27" t="n">
        <v>45652</v>
      </c>
      <c r="G187" s="28" t="n">
        <v>45607.4694444445</v>
      </c>
      <c r="H187" s="28" t="n">
        <v>45637.6361111111</v>
      </c>
      <c r="I187" s="24" t="n">
        <v>170</v>
      </c>
      <c r="J187" s="24" t="n">
        <v>28.5</v>
      </c>
      <c r="K187" s="24" t="n">
        <v>-141.5</v>
      </c>
      <c r="L187" s="24" t="n">
        <v>-7075</v>
      </c>
      <c r="M187" s="24" t="n">
        <v>-0.08</v>
      </c>
      <c r="N187" s="24" t="n">
        <v>50</v>
      </c>
      <c r="O187" s="5" t="str">
        <f aca="false">IF(ABS((J187-I187)-K187)&lt;=0.051,"OK","MISMATCH")</f>
        <v>OK</v>
      </c>
      <c r="P187" s="5" t="str">
        <f aca="false">IF(ABS(IF(C187="Buy",1,-1)*(J187-I187)*N187-L187)&lt;=1.01,"OK","MISMATCH")</f>
        <v>OK</v>
      </c>
    </row>
    <row r="188" customFormat="false" ht="15" hidden="false" customHeight="false" outlineLevel="0" collapsed="false">
      <c r="A188" s="5" t="n">
        <v>47</v>
      </c>
      <c r="B188" s="5" t="n">
        <v>391</v>
      </c>
      <c r="C188" s="5" t="s">
        <v>143</v>
      </c>
      <c r="D188" s="5" t="s">
        <v>144</v>
      </c>
      <c r="E188" s="5" t="n">
        <v>25100</v>
      </c>
      <c r="F188" s="27" t="n">
        <v>45652</v>
      </c>
      <c r="G188" s="28" t="n">
        <v>45607.4694444445</v>
      </c>
      <c r="H188" s="28" t="n">
        <v>45637.6361111111</v>
      </c>
      <c r="I188" s="24" t="n">
        <v>195.7</v>
      </c>
      <c r="J188" s="24" t="n">
        <v>100.6</v>
      </c>
      <c r="K188" s="24" t="n">
        <v>-95.1</v>
      </c>
      <c r="L188" s="24" t="n">
        <v>4755</v>
      </c>
      <c r="M188" s="24" t="n">
        <v>-0.28</v>
      </c>
      <c r="N188" s="24" t="n">
        <v>50</v>
      </c>
      <c r="O188" s="5" t="str">
        <f aca="false">IF(ABS((J188-I188)-K188)&lt;=0.051,"OK","MISMATCH")</f>
        <v>OK</v>
      </c>
      <c r="P188" s="5" t="str">
        <f aca="false">IF(ABS(IF(C188="Buy",1,-1)*(J188-I188)*N188-L188)&lt;=1.01,"OK","MISMATCH")</f>
        <v>OK</v>
      </c>
    </row>
    <row r="189" customFormat="false" ht="15" hidden="false" customHeight="false" outlineLevel="0" collapsed="false">
      <c r="A189" s="5" t="n">
        <v>47</v>
      </c>
      <c r="B189" s="5" t="n">
        <v>392</v>
      </c>
      <c r="C189" s="5" t="s">
        <v>141</v>
      </c>
      <c r="D189" s="5" t="s">
        <v>144</v>
      </c>
      <c r="E189" s="5" t="n">
        <v>25300</v>
      </c>
      <c r="F189" s="27" t="n">
        <v>45652</v>
      </c>
      <c r="G189" s="28" t="n">
        <v>45607.4694444445</v>
      </c>
      <c r="H189" s="28" t="n">
        <v>45637.6361111111</v>
      </c>
      <c r="I189" s="24" t="n">
        <v>137.5</v>
      </c>
      <c r="J189" s="24" t="n">
        <v>53.2</v>
      </c>
      <c r="K189" s="24" t="n">
        <v>-84.3</v>
      </c>
      <c r="L189" s="24" t="n">
        <v>-4215</v>
      </c>
      <c r="M189" s="24" t="n">
        <v>0.17</v>
      </c>
      <c r="N189" s="24" t="n">
        <v>50</v>
      </c>
      <c r="O189" s="5" t="str">
        <f aca="false">IF(ABS((J189-I189)-K189)&lt;=0.051,"OK","MISMATCH")</f>
        <v>OK</v>
      </c>
      <c r="P189" s="5" t="str">
        <f aca="false">IF(ABS(IF(C189="Buy",1,-1)*(J189-I189)*N189-L189)&lt;=1.01,"OK","MISMATCH")</f>
        <v>OK</v>
      </c>
    </row>
    <row r="190" customFormat="false" ht="15" hidden="false" customHeight="false" outlineLevel="0" collapsed="false">
      <c r="A190" s="5" t="n">
        <v>48</v>
      </c>
      <c r="B190" s="5" t="n">
        <v>397</v>
      </c>
      <c r="C190" s="5" t="s">
        <v>141</v>
      </c>
      <c r="D190" s="5" t="s">
        <v>142</v>
      </c>
      <c r="E190" s="5" t="n">
        <v>24000</v>
      </c>
      <c r="F190" s="27" t="n">
        <v>45687</v>
      </c>
      <c r="G190" s="28" t="n">
        <v>45642.4694444445</v>
      </c>
      <c r="H190" s="28" t="n">
        <v>45672.6361111111</v>
      </c>
      <c r="I190" s="24" t="n">
        <v>180</v>
      </c>
      <c r="J190" s="24" t="n">
        <v>767.1</v>
      </c>
      <c r="K190" s="24" t="n">
        <v>587.1</v>
      </c>
      <c r="L190" s="24" t="n">
        <v>29355</v>
      </c>
      <c r="M190" s="24" t="n">
        <v>-0.88</v>
      </c>
      <c r="N190" s="24" t="n">
        <v>50</v>
      </c>
      <c r="O190" s="5" t="str">
        <f aca="false">IF(ABS((J190-I190)-K190)&lt;=0.051,"OK","MISMATCH")</f>
        <v>OK</v>
      </c>
      <c r="P190" s="5" t="str">
        <f aca="false">IF(ABS(IF(C190="Buy",1,-1)*(J190-I190)*N190-L190)&lt;=1.01,"OK","MISMATCH")</f>
        <v>OK</v>
      </c>
    </row>
    <row r="191" customFormat="false" ht="15" hidden="false" customHeight="false" outlineLevel="0" collapsed="false">
      <c r="A191" s="5" t="n">
        <v>48</v>
      </c>
      <c r="B191" s="5" t="n">
        <v>398</v>
      </c>
      <c r="C191" s="5" t="s">
        <v>143</v>
      </c>
      <c r="D191" s="5" t="s">
        <v>144</v>
      </c>
      <c r="E191" s="5" t="n">
        <v>25500</v>
      </c>
      <c r="F191" s="27" t="n">
        <v>45687</v>
      </c>
      <c r="G191" s="28" t="n">
        <v>45642.4694444445</v>
      </c>
      <c r="H191" s="28" t="n">
        <v>45672.6361111111</v>
      </c>
      <c r="I191" s="24" t="n">
        <v>211.7</v>
      </c>
      <c r="J191" s="24" t="n">
        <v>4.5</v>
      </c>
      <c r="K191" s="24" t="n">
        <v>-207.2</v>
      </c>
      <c r="L191" s="24" t="n">
        <v>10360</v>
      </c>
      <c r="M191" s="24" t="n">
        <v>-0.01</v>
      </c>
      <c r="N191" s="24" t="n">
        <v>50</v>
      </c>
      <c r="O191" s="5" t="str">
        <f aca="false">IF(ABS((J191-I191)-K191)&lt;=0.051,"OK","MISMATCH")</f>
        <v>OK</v>
      </c>
      <c r="P191" s="5" t="str">
        <f aca="false">IF(ABS(IF(C191="Buy",1,-1)*(J191-I191)*N191-L191)&lt;=1.01,"OK","MISMATCH")</f>
        <v>OK</v>
      </c>
    </row>
    <row r="192" customFormat="false" ht="15" hidden="false" customHeight="false" outlineLevel="0" collapsed="false">
      <c r="A192" s="5" t="n">
        <v>48</v>
      </c>
      <c r="B192" s="5" t="n">
        <v>399</v>
      </c>
      <c r="C192" s="5" t="s">
        <v>141</v>
      </c>
      <c r="D192" s="5" t="s">
        <v>144</v>
      </c>
      <c r="E192" s="5" t="n">
        <v>25700</v>
      </c>
      <c r="F192" s="27" t="n">
        <v>45687</v>
      </c>
      <c r="G192" s="28" t="n">
        <v>45642.4694444445</v>
      </c>
      <c r="H192" s="28" t="n">
        <v>45672.6361111111</v>
      </c>
      <c r="I192" s="24" t="n">
        <v>155.1</v>
      </c>
      <c r="J192" s="24" t="n">
        <v>4.4</v>
      </c>
      <c r="K192" s="24" t="n">
        <v>-150.7</v>
      </c>
      <c r="L192" s="24" t="n">
        <v>-7534</v>
      </c>
      <c r="M192" s="24" t="n">
        <v>0.01</v>
      </c>
      <c r="N192" s="24" t="n">
        <v>50</v>
      </c>
      <c r="O192" s="5" t="str">
        <f aca="false">IF(ABS((J192-I192)-K192)&lt;=0.051,"OK","MISMATCH")</f>
        <v>OK</v>
      </c>
      <c r="P192" s="5" t="str">
        <f aca="false">IF(ABS(IF(C192="Buy",1,-1)*(J192-I192)*N192-L192)&lt;=1.01,"OK","MISMATCH")</f>
        <v>OK</v>
      </c>
    </row>
    <row r="193" customFormat="false" ht="15" hidden="false" customHeight="false" outlineLevel="0" collapsed="false">
      <c r="A193" s="5" t="n">
        <v>48</v>
      </c>
      <c r="B193" s="5" t="n">
        <v>400</v>
      </c>
      <c r="C193" s="5" t="s">
        <v>143</v>
      </c>
      <c r="D193" s="5" t="s">
        <v>142</v>
      </c>
      <c r="E193" s="5" t="n">
        <v>24200</v>
      </c>
      <c r="F193" s="27" t="n">
        <v>45687</v>
      </c>
      <c r="G193" s="28" t="n">
        <v>45642.4694444445</v>
      </c>
      <c r="H193" s="28" t="n">
        <v>45672.6361111111</v>
      </c>
      <c r="I193" s="24" t="n">
        <v>225.3</v>
      </c>
      <c r="J193" s="24" t="n">
        <v>953.7</v>
      </c>
      <c r="K193" s="24" t="n">
        <v>728.4</v>
      </c>
      <c r="L193" s="24" t="n">
        <v>-36420</v>
      </c>
      <c r="M193" s="24" t="n">
        <v>0.92</v>
      </c>
      <c r="N193" s="24" t="n">
        <v>50</v>
      </c>
      <c r="O193" s="5" t="str">
        <f aca="false">IF(ABS((J193-I193)-K193)&lt;=0.051,"OK","MISMATCH")</f>
        <v>OK</v>
      </c>
      <c r="P193" s="5" t="str">
        <f aca="false">IF(ABS(IF(C193="Buy",1,-1)*(J193-I193)*N193-L193)&lt;=1.01,"OK","MISMATCH")</f>
        <v>OK</v>
      </c>
    </row>
    <row r="194" customFormat="false" ht="15" hidden="false" customHeight="false" outlineLevel="0" collapsed="false">
      <c r="A194" s="5" t="n">
        <v>49</v>
      </c>
      <c r="B194" s="5" t="n">
        <v>405</v>
      </c>
      <c r="C194" s="5" t="s">
        <v>141</v>
      </c>
      <c r="D194" s="5" t="s">
        <v>142</v>
      </c>
      <c r="E194" s="5" t="n">
        <v>22600</v>
      </c>
      <c r="F194" s="27" t="n">
        <v>45715</v>
      </c>
      <c r="G194" s="28" t="n">
        <v>45670.4694444445</v>
      </c>
      <c r="H194" s="28" t="n">
        <v>45698.6361111111</v>
      </c>
      <c r="I194" s="24" t="n">
        <v>215.5</v>
      </c>
      <c r="J194" s="24" t="n">
        <v>49.8</v>
      </c>
      <c r="K194" s="24" t="n">
        <v>-165.7</v>
      </c>
      <c r="L194" s="24" t="n">
        <v>-12427</v>
      </c>
      <c r="M194" s="24" t="n">
        <v>-0.13</v>
      </c>
      <c r="N194" s="24" t="n">
        <v>75</v>
      </c>
      <c r="O194" s="5" t="str">
        <f aca="false">IF(ABS((J194-I194)-K194)&lt;=0.051,"OK","MISMATCH")</f>
        <v>OK</v>
      </c>
      <c r="P194" s="5" t="str">
        <f aca="false">IF(ABS(IF(C194="Buy",1,-1)*(J194-I194)*N194-L194)&lt;=1.01,"OK","MISMATCH")</f>
        <v>OK</v>
      </c>
    </row>
    <row r="195" customFormat="false" ht="15" hidden="false" customHeight="false" outlineLevel="0" collapsed="false">
      <c r="A195" s="5" t="n">
        <v>49</v>
      </c>
      <c r="B195" s="5" t="n">
        <v>406</v>
      </c>
      <c r="C195" s="5" t="s">
        <v>143</v>
      </c>
      <c r="D195" s="5" t="s">
        <v>144</v>
      </c>
      <c r="E195" s="5" t="n">
        <v>24100</v>
      </c>
      <c r="F195" s="27" t="n">
        <v>45715</v>
      </c>
      <c r="G195" s="28" t="n">
        <v>45670.4694444445</v>
      </c>
      <c r="H195" s="28" t="n">
        <v>45698.6361111111</v>
      </c>
      <c r="I195" s="24" t="n">
        <v>245.5</v>
      </c>
      <c r="J195" s="24" t="n">
        <v>54.9</v>
      </c>
      <c r="K195" s="24" t="n">
        <v>-190.6</v>
      </c>
      <c r="L195" s="24" t="n">
        <v>14295</v>
      </c>
      <c r="M195" s="24" t="n">
        <v>-0.16</v>
      </c>
      <c r="N195" s="24" t="n">
        <v>75</v>
      </c>
      <c r="O195" s="5" t="str">
        <f aca="false">IF(ABS((J195-I195)-K195)&lt;=0.051,"OK","MISMATCH")</f>
        <v>OK</v>
      </c>
      <c r="P195" s="5" t="str">
        <f aca="false">IF(ABS(IF(C195="Buy",1,-1)*(J195-I195)*N195-L195)&lt;=1.01,"OK","MISMATCH")</f>
        <v>OK</v>
      </c>
    </row>
    <row r="196" customFormat="false" ht="15" hidden="false" customHeight="false" outlineLevel="0" collapsed="false">
      <c r="A196" s="5" t="n">
        <v>49</v>
      </c>
      <c r="B196" s="5" t="n">
        <v>407</v>
      </c>
      <c r="C196" s="5" t="s">
        <v>141</v>
      </c>
      <c r="D196" s="5" t="s">
        <v>144</v>
      </c>
      <c r="E196" s="5" t="n">
        <v>24300</v>
      </c>
      <c r="F196" s="27" t="n">
        <v>45715</v>
      </c>
      <c r="G196" s="28" t="n">
        <v>45670.4694444445</v>
      </c>
      <c r="H196" s="28" t="n">
        <v>45698.6361111111</v>
      </c>
      <c r="I196" s="24" t="n">
        <v>189</v>
      </c>
      <c r="J196" s="24" t="n">
        <v>30.3</v>
      </c>
      <c r="K196" s="24" t="n">
        <v>-158.7</v>
      </c>
      <c r="L196" s="24" t="n">
        <v>-11902</v>
      </c>
      <c r="M196" s="24" t="n">
        <v>0.1</v>
      </c>
      <c r="N196" s="24" t="n">
        <v>75</v>
      </c>
      <c r="O196" s="5" t="str">
        <f aca="false">IF(ABS((J196-I196)-K196)&lt;=0.051,"OK","MISMATCH")</f>
        <v>OK</v>
      </c>
      <c r="P196" s="5" t="str">
        <f aca="false">IF(ABS(IF(C196="Buy",1,-1)*(J196-I196)*N196-L196)&lt;=1.01,"OK","MISMATCH")</f>
        <v>OK</v>
      </c>
    </row>
    <row r="197" customFormat="false" ht="15" hidden="false" customHeight="false" outlineLevel="0" collapsed="false">
      <c r="A197" s="5" t="n">
        <v>49</v>
      </c>
      <c r="B197" s="5" t="n">
        <v>408</v>
      </c>
      <c r="C197" s="5" t="s">
        <v>143</v>
      </c>
      <c r="D197" s="5" t="s">
        <v>142</v>
      </c>
      <c r="E197" s="5" t="n">
        <v>22800</v>
      </c>
      <c r="F197" s="27" t="n">
        <v>45715</v>
      </c>
      <c r="G197" s="28" t="n">
        <v>45670.4694444445</v>
      </c>
      <c r="H197" s="28" t="n">
        <v>45698.6361111111</v>
      </c>
      <c r="I197" s="24" t="n">
        <v>263.6</v>
      </c>
      <c r="J197" s="24" t="n">
        <v>76.3</v>
      </c>
      <c r="K197" s="24" t="n">
        <v>-187.3</v>
      </c>
      <c r="L197" s="24" t="n">
        <v>14047</v>
      </c>
      <c r="M197" s="24" t="n">
        <v>0.18</v>
      </c>
      <c r="N197" s="24" t="n">
        <v>75</v>
      </c>
      <c r="O197" s="5" t="str">
        <f aca="false">IF(ABS((J197-I197)-K197)&lt;=0.051,"OK","MISMATCH")</f>
        <v>OK</v>
      </c>
      <c r="P197" s="5" t="str">
        <f aca="false">IF(ABS(IF(C197="Buy",1,-1)*(J197-I197)*N197-L197)&lt;=1.01,"OK","MISMATCH")</f>
        <v>OK</v>
      </c>
    </row>
    <row r="198" customFormat="false" ht="15" hidden="false" customHeight="false" outlineLevel="0" collapsed="false">
      <c r="A198" s="5" t="n">
        <v>50</v>
      </c>
      <c r="B198" s="5" t="n">
        <v>413</v>
      </c>
      <c r="C198" s="5" t="s">
        <v>143</v>
      </c>
      <c r="D198" s="5" t="s">
        <v>142</v>
      </c>
      <c r="E198" s="5" t="n">
        <v>23000</v>
      </c>
      <c r="F198" s="27" t="n">
        <v>45743</v>
      </c>
      <c r="G198" s="28" t="n">
        <v>45698.4694444445</v>
      </c>
      <c r="H198" s="28" t="n">
        <v>45728.6361111111</v>
      </c>
      <c r="I198" s="24" t="n">
        <v>227.9</v>
      </c>
      <c r="J198" s="24" t="n">
        <v>530.5</v>
      </c>
      <c r="K198" s="24" t="n">
        <v>302.6</v>
      </c>
      <c r="L198" s="24" t="n">
        <v>-22695</v>
      </c>
      <c r="M198" s="24" t="n">
        <v>0.81</v>
      </c>
      <c r="N198" s="24" t="n">
        <v>75</v>
      </c>
      <c r="O198" s="5" t="str">
        <f aca="false">IF(ABS((J198-I198)-K198)&lt;=0.051,"OK","MISMATCH")</f>
        <v>OK</v>
      </c>
      <c r="P198" s="5" t="str">
        <f aca="false">IF(ABS(IF(C198="Buy",1,-1)*(J198-I198)*N198-L198)&lt;=1.01,"OK","MISMATCH")</f>
        <v>OK</v>
      </c>
    </row>
    <row r="199" customFormat="false" ht="15" hidden="false" customHeight="false" outlineLevel="0" collapsed="false">
      <c r="A199" s="5" t="n">
        <v>50</v>
      </c>
      <c r="B199" s="5" t="n">
        <v>414</v>
      </c>
      <c r="C199" s="5" t="s">
        <v>141</v>
      </c>
      <c r="D199" s="5" t="s">
        <v>142</v>
      </c>
      <c r="E199" s="5" t="n">
        <v>22800</v>
      </c>
      <c r="F199" s="27" t="n">
        <v>45743</v>
      </c>
      <c r="G199" s="28" t="n">
        <v>45698.4694444445</v>
      </c>
      <c r="H199" s="28" t="n">
        <v>45728.6361111111</v>
      </c>
      <c r="I199" s="24" t="n">
        <v>176.1</v>
      </c>
      <c r="J199" s="24" t="n">
        <v>384.8</v>
      </c>
      <c r="K199" s="24" t="n">
        <v>208.7</v>
      </c>
      <c r="L199" s="24" t="n">
        <v>15652</v>
      </c>
      <c r="M199" s="24" t="n">
        <v>-0.69</v>
      </c>
      <c r="N199" s="24" t="n">
        <v>75</v>
      </c>
      <c r="O199" s="5" t="str">
        <f aca="false">IF(ABS((J199-I199)-K199)&lt;=0.051,"OK","MISMATCH")</f>
        <v>OK</v>
      </c>
      <c r="P199" s="5" t="str">
        <f aca="false">IF(ABS(IF(C199="Buy",1,-1)*(J199-I199)*N199-L199)&lt;=1.01,"OK","MISMATCH")</f>
        <v>OK</v>
      </c>
    </row>
    <row r="200" customFormat="false" ht="15" hidden="false" customHeight="false" outlineLevel="0" collapsed="false">
      <c r="A200" s="5" t="n">
        <v>50</v>
      </c>
      <c r="B200" s="5" t="n">
        <v>415</v>
      </c>
      <c r="C200" s="5" t="s">
        <v>143</v>
      </c>
      <c r="D200" s="5" t="s">
        <v>144</v>
      </c>
      <c r="E200" s="5" t="n">
        <v>24200</v>
      </c>
      <c r="F200" s="27" t="n">
        <v>45743</v>
      </c>
      <c r="G200" s="28" t="n">
        <v>45698.4694444445</v>
      </c>
      <c r="H200" s="28" t="n">
        <v>45728.6361111111</v>
      </c>
      <c r="I200" s="24" t="n">
        <v>200.1</v>
      </c>
      <c r="J200" s="24" t="n">
        <v>3</v>
      </c>
      <c r="K200" s="24" t="n">
        <v>-197.1</v>
      </c>
      <c r="L200" s="24" t="n">
        <v>14782</v>
      </c>
      <c r="M200" s="24" t="n">
        <v>-0.01</v>
      </c>
      <c r="N200" s="24" t="n">
        <v>75</v>
      </c>
      <c r="O200" s="5" t="str">
        <f aca="false">IF(ABS((J200-I200)-K200)&lt;=0.051,"OK","MISMATCH")</f>
        <v>OK</v>
      </c>
      <c r="P200" s="5" t="str">
        <f aca="false">IF(ABS(IF(C200="Buy",1,-1)*(J200-I200)*N200-L200)&lt;=1.01,"OK","MISMATCH")</f>
        <v>OK</v>
      </c>
    </row>
    <row r="201" customFormat="false" ht="15" hidden="false" customHeight="false" outlineLevel="0" collapsed="false">
      <c r="A201" s="5" t="n">
        <v>50</v>
      </c>
      <c r="B201" s="5" t="n">
        <v>416</v>
      </c>
      <c r="C201" s="5" t="s">
        <v>141</v>
      </c>
      <c r="D201" s="5" t="s">
        <v>144</v>
      </c>
      <c r="E201" s="5" t="n">
        <v>24400</v>
      </c>
      <c r="F201" s="27" t="n">
        <v>45743</v>
      </c>
      <c r="G201" s="28" t="n">
        <v>45698.4694444445</v>
      </c>
      <c r="H201" s="28" t="n">
        <v>45728.6361111111</v>
      </c>
      <c r="I201" s="24" t="n">
        <v>146</v>
      </c>
      <c r="J201" s="24" t="n">
        <v>2.6</v>
      </c>
      <c r="K201" s="24" t="n">
        <v>-143.4</v>
      </c>
      <c r="L201" s="24" t="n">
        <v>-10755</v>
      </c>
      <c r="M201" s="24" t="n">
        <v>0.01</v>
      </c>
      <c r="N201" s="24" t="n">
        <v>75</v>
      </c>
      <c r="O201" s="5" t="str">
        <f aca="false">IF(ABS((J201-I201)-K201)&lt;=0.051,"OK","MISMATCH")</f>
        <v>OK</v>
      </c>
      <c r="P201" s="5" t="str">
        <f aca="false">IF(ABS(IF(C201="Buy",1,-1)*(J201-I201)*N201-L201)&lt;=1.01,"OK","MISMATCH")</f>
        <v>OK</v>
      </c>
    </row>
    <row r="202" customFormat="false" ht="15" hidden="false" customHeight="false" outlineLevel="0" collapsed="false">
      <c r="A202" s="5" t="n">
        <v>51</v>
      </c>
      <c r="B202" s="5" t="n">
        <v>421</v>
      </c>
      <c r="C202" s="5" t="s">
        <v>141</v>
      </c>
      <c r="D202" s="5" t="s">
        <v>142</v>
      </c>
      <c r="E202" s="5" t="n">
        <v>22000</v>
      </c>
      <c r="F202" s="27" t="n">
        <v>45771</v>
      </c>
      <c r="G202" s="28" t="n">
        <v>45726.4694444445</v>
      </c>
      <c r="H202" s="28" t="n">
        <v>45756.6361111111</v>
      </c>
      <c r="I202" s="24" t="n">
        <v>160.3</v>
      </c>
      <c r="J202" s="24" t="n">
        <v>248.8</v>
      </c>
      <c r="K202" s="24" t="n">
        <v>88.5</v>
      </c>
      <c r="L202" s="24" t="n">
        <v>6637</v>
      </c>
      <c r="M202" s="24" t="n">
        <v>-0.33</v>
      </c>
      <c r="N202" s="24" t="n">
        <v>75</v>
      </c>
      <c r="O202" s="5" t="str">
        <f aca="false">IF(ABS((J202-I202)-K202)&lt;=0.051,"OK","MISMATCH")</f>
        <v>OK</v>
      </c>
      <c r="P202" s="5" t="str">
        <f aca="false">IF(ABS(IF(C202="Buy",1,-1)*(J202-I202)*N202-L202)&lt;=1.01,"OK","MISMATCH")</f>
        <v>OK</v>
      </c>
    </row>
    <row r="203" customFormat="false" ht="15" hidden="false" customHeight="false" outlineLevel="0" collapsed="false">
      <c r="A203" s="5" t="n">
        <v>51</v>
      </c>
      <c r="B203" s="5" t="n">
        <v>422</v>
      </c>
      <c r="C203" s="5" t="s">
        <v>143</v>
      </c>
      <c r="D203" s="5" t="s">
        <v>144</v>
      </c>
      <c r="E203" s="5" t="n">
        <v>23400</v>
      </c>
      <c r="F203" s="27" t="n">
        <v>45771</v>
      </c>
      <c r="G203" s="28" t="n">
        <v>45726.4694444445</v>
      </c>
      <c r="H203" s="28" t="n">
        <v>45756.6361111111</v>
      </c>
      <c r="I203" s="24" t="n">
        <v>182</v>
      </c>
      <c r="J203" s="24" t="n">
        <v>76.6</v>
      </c>
      <c r="K203" s="24" t="n">
        <v>-105.4</v>
      </c>
      <c r="L203" s="24" t="n">
        <v>7905</v>
      </c>
      <c r="M203" s="24" t="n">
        <v>-0.16</v>
      </c>
      <c r="N203" s="24" t="n">
        <v>75</v>
      </c>
      <c r="O203" s="5" t="str">
        <f aca="false">IF(ABS((J203-I203)-K203)&lt;=0.051,"OK","MISMATCH")</f>
        <v>OK</v>
      </c>
      <c r="P203" s="5" t="str">
        <f aca="false">IF(ABS(IF(C203="Buy",1,-1)*(J203-I203)*N203-L203)&lt;=1.01,"OK","MISMATCH")</f>
        <v>OK</v>
      </c>
    </row>
    <row r="204" customFormat="false" ht="15" hidden="false" customHeight="false" outlineLevel="0" collapsed="false">
      <c r="A204" s="5" t="n">
        <v>51</v>
      </c>
      <c r="B204" s="5" t="n">
        <v>423</v>
      </c>
      <c r="C204" s="5" t="s">
        <v>141</v>
      </c>
      <c r="D204" s="5" t="s">
        <v>144</v>
      </c>
      <c r="E204" s="5" t="n">
        <v>23600</v>
      </c>
      <c r="F204" s="27" t="n">
        <v>45771</v>
      </c>
      <c r="G204" s="28" t="n">
        <v>45726.4694444445</v>
      </c>
      <c r="H204" s="28" t="n">
        <v>45756.6361111111</v>
      </c>
      <c r="I204" s="24" t="n">
        <v>129</v>
      </c>
      <c r="J204" s="24" t="n">
        <v>51.1</v>
      </c>
      <c r="K204" s="24" t="n">
        <v>-77.9</v>
      </c>
      <c r="L204" s="24" t="n">
        <v>-5842</v>
      </c>
      <c r="M204" s="24" t="n">
        <v>0.12</v>
      </c>
      <c r="N204" s="24" t="n">
        <v>75</v>
      </c>
      <c r="O204" s="5" t="str">
        <f aca="false">IF(ABS((J204-I204)-K204)&lt;=0.051,"OK","MISMATCH")</f>
        <v>OK</v>
      </c>
      <c r="P204" s="5" t="str">
        <f aca="false">IF(ABS(IF(C204="Buy",1,-1)*(J204-I204)*N204-L204)&lt;=1.01,"OK","MISMATCH")</f>
        <v>OK</v>
      </c>
    </row>
    <row r="205" customFormat="false" ht="15" hidden="false" customHeight="false" outlineLevel="0" collapsed="false">
      <c r="A205" s="5" t="n">
        <v>51</v>
      </c>
      <c r="B205" s="5" t="n">
        <v>424</v>
      </c>
      <c r="C205" s="5" t="s">
        <v>143</v>
      </c>
      <c r="D205" s="5" t="s">
        <v>142</v>
      </c>
      <c r="E205" s="5" t="n">
        <v>22200</v>
      </c>
      <c r="F205" s="27" t="n">
        <v>45771</v>
      </c>
      <c r="G205" s="28" t="n">
        <v>45726.4694444445</v>
      </c>
      <c r="H205" s="28" t="n">
        <v>45756.6361111111</v>
      </c>
      <c r="I205" s="24" t="n">
        <v>200.6</v>
      </c>
      <c r="J205" s="24" t="n">
        <v>305.9</v>
      </c>
      <c r="K205" s="24" t="n">
        <v>105.3</v>
      </c>
      <c r="L205" s="24" t="n">
        <v>-7897</v>
      </c>
      <c r="M205" s="24" t="n">
        <v>0.39</v>
      </c>
      <c r="N205" s="24" t="n">
        <v>75</v>
      </c>
      <c r="O205" s="5" t="str">
        <f aca="false">IF(ABS((J205-I205)-K205)&lt;=0.051,"OK","MISMATCH")</f>
        <v>OK</v>
      </c>
      <c r="P205" s="5" t="str">
        <f aca="false">IF(ABS(IF(C205="Buy",1,-1)*(J205-I205)*N205-L205)&lt;=1.01,"OK","MISMATCH")</f>
        <v>OK</v>
      </c>
    </row>
    <row r="206" customFormat="false" ht="15" hidden="false" customHeight="false" outlineLevel="0" collapsed="false">
      <c r="A206" s="5" t="n">
        <v>52</v>
      </c>
      <c r="B206" s="5" t="n">
        <v>429</v>
      </c>
      <c r="C206" s="5" t="s">
        <v>143</v>
      </c>
      <c r="D206" s="5" t="s">
        <v>142</v>
      </c>
      <c r="E206" s="5" t="n">
        <v>22800</v>
      </c>
      <c r="F206" s="27" t="n">
        <v>45806</v>
      </c>
      <c r="G206" s="28" t="n">
        <v>45762.4694444445</v>
      </c>
      <c r="H206" s="28" t="n">
        <v>45791.6361111111</v>
      </c>
      <c r="I206" s="24" t="n">
        <v>265</v>
      </c>
      <c r="J206" s="24" t="n">
        <v>19.4</v>
      </c>
      <c r="K206" s="24" t="n">
        <v>-245.6</v>
      </c>
      <c r="L206" s="24" t="n">
        <v>18420</v>
      </c>
      <c r="M206" s="24" t="n">
        <v>0.04</v>
      </c>
      <c r="N206" s="24" t="n">
        <v>75</v>
      </c>
      <c r="O206" s="5" t="str">
        <f aca="false">IF(ABS((J206-I206)-K206)&lt;=0.051,"OK","MISMATCH")</f>
        <v>OK</v>
      </c>
      <c r="P206" s="5" t="str">
        <f aca="false">IF(ABS(IF(C206="Buy",1,-1)*(J206-I206)*N206-L206)&lt;=1.01,"OK","MISMATCH")</f>
        <v>OK</v>
      </c>
    </row>
    <row r="207" customFormat="false" ht="15" hidden="false" customHeight="false" outlineLevel="0" collapsed="false">
      <c r="A207" s="5" t="n">
        <v>52</v>
      </c>
      <c r="B207" s="5" t="n">
        <v>430</v>
      </c>
      <c r="C207" s="5" t="s">
        <v>141</v>
      </c>
      <c r="D207" s="5" t="s">
        <v>142</v>
      </c>
      <c r="E207" s="5" t="n">
        <v>22600</v>
      </c>
      <c r="F207" s="27" t="n">
        <v>45806</v>
      </c>
      <c r="G207" s="28" t="n">
        <v>45762.4694444445</v>
      </c>
      <c r="H207" s="28" t="n">
        <v>45791.6361111111</v>
      </c>
      <c r="I207" s="24" t="n">
        <v>223.4</v>
      </c>
      <c r="J207" s="24" t="n">
        <v>16.6</v>
      </c>
      <c r="K207" s="24" t="n">
        <v>-206.8</v>
      </c>
      <c r="L207" s="24" t="n">
        <v>-15510</v>
      </c>
      <c r="M207" s="24" t="n">
        <v>-0.03</v>
      </c>
      <c r="N207" s="24" t="n">
        <v>75</v>
      </c>
      <c r="O207" s="5" t="str">
        <f aca="false">IF(ABS((J207-I207)-K207)&lt;=0.051,"OK","MISMATCH")</f>
        <v>OK</v>
      </c>
      <c r="P207" s="5" t="str">
        <f aca="false">IF(ABS(IF(C207="Buy",1,-1)*(J207-I207)*N207-L207)&lt;=1.01,"OK","MISMATCH")</f>
        <v>OK</v>
      </c>
    </row>
    <row r="208" customFormat="false" ht="15" hidden="false" customHeight="false" outlineLevel="0" collapsed="false">
      <c r="A208" s="5" t="n">
        <v>52</v>
      </c>
      <c r="B208" s="5" t="n">
        <v>431</v>
      </c>
      <c r="C208" s="5" t="s">
        <v>143</v>
      </c>
      <c r="D208" s="5" t="s">
        <v>144</v>
      </c>
      <c r="E208" s="5" t="n">
        <v>24100</v>
      </c>
      <c r="F208" s="27" t="n">
        <v>45806</v>
      </c>
      <c r="G208" s="28" t="n">
        <v>45762.4694444445</v>
      </c>
      <c r="H208" s="28" t="n">
        <v>45791.6361111111</v>
      </c>
      <c r="I208" s="24" t="n">
        <v>207.2</v>
      </c>
      <c r="J208" s="24" t="n">
        <v>712</v>
      </c>
      <c r="K208" s="24" t="n">
        <v>504.8</v>
      </c>
      <c r="L208" s="24" t="n">
        <v>-37860</v>
      </c>
      <c r="M208" s="24" t="n">
        <v>-0.77</v>
      </c>
      <c r="N208" s="24" t="n">
        <v>75</v>
      </c>
      <c r="O208" s="5" t="str">
        <f aca="false">IF(ABS((J208-I208)-K208)&lt;=0.051,"OK","MISMATCH")</f>
        <v>OK</v>
      </c>
      <c r="P208" s="5" t="str">
        <f aca="false">IF(ABS(IF(C208="Buy",1,-1)*(J208-I208)*N208-L208)&lt;=1.01,"OK","MISMATCH")</f>
        <v>OK</v>
      </c>
    </row>
    <row r="209" customFormat="false" ht="15" hidden="false" customHeight="false" outlineLevel="0" collapsed="false">
      <c r="A209" s="5" t="n">
        <v>52</v>
      </c>
      <c r="B209" s="5" t="n">
        <v>432</v>
      </c>
      <c r="C209" s="5" t="s">
        <v>141</v>
      </c>
      <c r="D209" s="5" t="s">
        <v>144</v>
      </c>
      <c r="E209" s="5" t="n">
        <v>24300</v>
      </c>
      <c r="F209" s="27" t="n">
        <v>45806</v>
      </c>
      <c r="G209" s="28" t="n">
        <v>45762.4694444445</v>
      </c>
      <c r="H209" s="28" t="n">
        <v>45791.6361111111</v>
      </c>
      <c r="I209" s="24" t="n">
        <v>154.3</v>
      </c>
      <c r="J209" s="24" t="n">
        <v>557.5</v>
      </c>
      <c r="K209" s="24" t="n">
        <v>403.2</v>
      </c>
      <c r="L209" s="24" t="n">
        <v>30240</v>
      </c>
      <c r="M209" s="24" t="n">
        <v>0.69</v>
      </c>
      <c r="N209" s="24" t="n">
        <v>75</v>
      </c>
      <c r="O209" s="5" t="str">
        <f aca="false">IF(ABS((J209-I209)-K209)&lt;=0.051,"OK","MISMATCH")</f>
        <v>OK</v>
      </c>
      <c r="P209" s="5" t="str">
        <f aca="false">IF(ABS(IF(C209="Buy",1,-1)*(J209-I209)*N209-L209)&lt;=1.01,"OK","MISMATCH")</f>
        <v>OK</v>
      </c>
    </row>
    <row r="210" customFormat="false" ht="15" hidden="false" customHeight="false" outlineLevel="0" collapsed="false">
      <c r="A210" s="5" t="n">
        <v>53</v>
      </c>
      <c r="B210" s="5" t="n">
        <v>437</v>
      </c>
      <c r="C210" s="5" t="s">
        <v>141</v>
      </c>
      <c r="D210" s="5" t="s">
        <v>142</v>
      </c>
      <c r="E210" s="5" t="n">
        <v>24000</v>
      </c>
      <c r="F210" s="27" t="n">
        <v>45834</v>
      </c>
      <c r="G210" s="28" t="n">
        <v>45789.4694444445</v>
      </c>
      <c r="H210" s="28" t="n">
        <v>45819.6361111111</v>
      </c>
      <c r="I210" s="24" t="n">
        <v>239.9</v>
      </c>
      <c r="J210" s="24" t="n">
        <v>21.4</v>
      </c>
      <c r="K210" s="24" t="n">
        <v>-218.5</v>
      </c>
      <c r="L210" s="24" t="n">
        <v>-16387</v>
      </c>
      <c r="M210" s="24" t="n">
        <v>-0.06</v>
      </c>
      <c r="N210" s="24" t="n">
        <v>75</v>
      </c>
      <c r="O210" s="5" t="str">
        <f aca="false">IF(ABS((J210-I210)-K210)&lt;=0.051,"OK","MISMATCH")</f>
        <v>OK</v>
      </c>
      <c r="P210" s="5" t="str">
        <f aca="false">IF(ABS(IF(C210="Buy",1,-1)*(J210-I210)*N210-L210)&lt;=1.01,"OK","MISMATCH")</f>
        <v>OK</v>
      </c>
    </row>
    <row r="211" customFormat="false" ht="15" hidden="false" customHeight="false" outlineLevel="0" collapsed="false">
      <c r="A211" s="5" t="n">
        <v>53</v>
      </c>
      <c r="B211" s="5" t="n">
        <v>438</v>
      </c>
      <c r="C211" s="5" t="s">
        <v>143</v>
      </c>
      <c r="D211" s="5" t="s">
        <v>144</v>
      </c>
      <c r="E211" s="5" t="n">
        <v>25550</v>
      </c>
      <c r="F211" s="27" t="n">
        <v>45834</v>
      </c>
      <c r="G211" s="28" t="n">
        <v>45789.4694444445</v>
      </c>
      <c r="H211" s="28" t="n">
        <v>45819.6361111111</v>
      </c>
      <c r="I211" s="24" t="n">
        <v>227.2</v>
      </c>
      <c r="J211" s="24" t="n">
        <v>121</v>
      </c>
      <c r="K211" s="24" t="n">
        <v>-106.2</v>
      </c>
      <c r="L211" s="24" t="n">
        <v>7965</v>
      </c>
      <c r="M211" s="24" t="n">
        <v>-0.3</v>
      </c>
      <c r="N211" s="24" t="n">
        <v>75</v>
      </c>
      <c r="O211" s="5" t="str">
        <f aca="false">IF(ABS((J211-I211)-K211)&lt;=0.051,"OK","MISMATCH")</f>
        <v>OK</v>
      </c>
      <c r="P211" s="5" t="str">
        <f aca="false">IF(ABS(IF(C211="Buy",1,-1)*(J211-I211)*N211-L211)&lt;=1.01,"OK","MISMATCH")</f>
        <v>OK</v>
      </c>
    </row>
    <row r="212" customFormat="false" ht="15" hidden="false" customHeight="false" outlineLevel="0" collapsed="false">
      <c r="A212" s="5" t="n">
        <v>53</v>
      </c>
      <c r="B212" s="5" t="n">
        <v>439</v>
      </c>
      <c r="C212" s="5" t="s">
        <v>141</v>
      </c>
      <c r="D212" s="5" t="s">
        <v>144</v>
      </c>
      <c r="E212" s="5" t="n">
        <v>25750</v>
      </c>
      <c r="F212" s="27" t="n">
        <v>45834</v>
      </c>
      <c r="G212" s="28" t="n">
        <v>45789.4694444445</v>
      </c>
      <c r="H212" s="28" t="n">
        <v>45819.6361111111</v>
      </c>
      <c r="I212" s="24" t="n">
        <v>171.2</v>
      </c>
      <c r="J212" s="24" t="n">
        <v>67.9</v>
      </c>
      <c r="K212" s="24" t="n">
        <v>-103.3</v>
      </c>
      <c r="L212" s="24" t="n">
        <v>-7747</v>
      </c>
      <c r="M212" s="24" t="n">
        <v>0.2</v>
      </c>
      <c r="N212" s="24" t="n">
        <v>75</v>
      </c>
      <c r="O212" s="5" t="str">
        <f aca="false">IF(ABS((J212-I212)-K212)&lt;=0.051,"OK","MISMATCH")</f>
        <v>OK</v>
      </c>
      <c r="P212" s="5" t="str">
        <f aca="false">IF(ABS(IF(C212="Buy",1,-1)*(J212-I212)*N212-L212)&lt;=1.01,"OK","MISMATCH")</f>
        <v>OK</v>
      </c>
    </row>
    <row r="213" customFormat="false" ht="15" hidden="false" customHeight="false" outlineLevel="0" collapsed="false">
      <c r="A213" s="5" t="n">
        <v>53</v>
      </c>
      <c r="B213" s="5" t="n">
        <v>440</v>
      </c>
      <c r="C213" s="5" t="s">
        <v>143</v>
      </c>
      <c r="D213" s="5" t="s">
        <v>142</v>
      </c>
      <c r="E213" s="5" t="n">
        <v>24200</v>
      </c>
      <c r="F213" s="27" t="n">
        <v>45834</v>
      </c>
      <c r="G213" s="28" t="n">
        <v>45789.4694444445</v>
      </c>
      <c r="H213" s="28" t="n">
        <v>45819.6361111111</v>
      </c>
      <c r="I213" s="24" t="n">
        <v>276.9</v>
      </c>
      <c r="J213" s="24" t="n">
        <v>30.3</v>
      </c>
      <c r="K213" s="24" t="n">
        <v>-246.6</v>
      </c>
      <c r="L213" s="24" t="n">
        <v>18495</v>
      </c>
      <c r="M213" s="24" t="n">
        <v>0.09</v>
      </c>
      <c r="N213" s="24" t="n">
        <v>75</v>
      </c>
      <c r="O213" s="5" t="str">
        <f aca="false">IF(ABS((J213-I213)-K213)&lt;=0.051,"OK","MISMATCH")</f>
        <v>OK</v>
      </c>
      <c r="P213" s="5" t="str">
        <f aca="false">IF(ABS(IF(C213="Buy",1,-1)*(J213-I213)*N213-L213)&lt;=1.01,"OK","MISMATCH")</f>
        <v>OK</v>
      </c>
    </row>
    <row r="214" customFormat="false" ht="15" hidden="false" customHeight="false" outlineLevel="0" collapsed="false">
      <c r="A214" s="5" t="n">
        <v>54</v>
      </c>
      <c r="B214" s="5" t="n">
        <v>445</v>
      </c>
      <c r="C214" s="5" t="s">
        <v>143</v>
      </c>
      <c r="D214" s="5" t="s">
        <v>142</v>
      </c>
      <c r="E214" s="5" t="n">
        <v>24400</v>
      </c>
      <c r="F214" s="27" t="n">
        <v>45869</v>
      </c>
      <c r="G214" s="28" t="n">
        <v>45824.4694444445</v>
      </c>
      <c r="H214" s="28" t="n">
        <v>45849.6361111111</v>
      </c>
      <c r="I214" s="24" t="n">
        <v>248.2</v>
      </c>
      <c r="J214" s="24" t="n">
        <v>44.4</v>
      </c>
      <c r="K214" s="24" t="n">
        <v>-203.8</v>
      </c>
      <c r="L214" s="24" t="n">
        <v>15285</v>
      </c>
      <c r="M214" s="24" t="n">
        <v>0.12</v>
      </c>
      <c r="N214" s="24" t="n">
        <v>75</v>
      </c>
      <c r="O214" s="5" t="str">
        <f aca="false">IF(ABS((J214-I214)-K214)&lt;=0.051,"OK","MISMATCH")</f>
        <v>OK</v>
      </c>
      <c r="P214" s="5" t="str">
        <f aca="false">IF(ABS(IF(C214="Buy",1,-1)*(J214-I214)*N214-L214)&lt;=1.01,"OK","MISMATCH")</f>
        <v>OK</v>
      </c>
    </row>
    <row r="215" customFormat="false" ht="15" hidden="false" customHeight="false" outlineLevel="0" collapsed="false">
      <c r="A215" s="5" t="n">
        <v>54</v>
      </c>
      <c r="B215" s="5" t="n">
        <v>446</v>
      </c>
      <c r="C215" s="5" t="s">
        <v>141</v>
      </c>
      <c r="D215" s="5" t="s">
        <v>142</v>
      </c>
      <c r="E215" s="5" t="n">
        <v>24200</v>
      </c>
      <c r="F215" s="27" t="n">
        <v>45869</v>
      </c>
      <c r="G215" s="28" t="n">
        <v>45824.4694444445</v>
      </c>
      <c r="H215" s="28" t="n">
        <v>45849.6361111111</v>
      </c>
      <c r="I215" s="24" t="n">
        <v>201.4</v>
      </c>
      <c r="J215" s="24" t="n">
        <v>29.9</v>
      </c>
      <c r="K215" s="24" t="n">
        <v>-171.5</v>
      </c>
      <c r="L215" s="24" t="n">
        <v>-12862</v>
      </c>
      <c r="M215" s="24" t="n">
        <v>-0.08</v>
      </c>
      <c r="N215" s="24" t="n">
        <v>75</v>
      </c>
      <c r="O215" s="5" t="str">
        <f aca="false">IF(ABS((J215-I215)-K215)&lt;=0.051,"OK","MISMATCH")</f>
        <v>OK</v>
      </c>
      <c r="P215" s="5" t="str">
        <f aca="false">IF(ABS(IF(C215="Buy",1,-1)*(J215-I215)*N215-L215)&lt;=1.01,"OK","MISMATCH")</f>
        <v>OK</v>
      </c>
    </row>
    <row r="216" customFormat="false" ht="15" hidden="false" customHeight="false" outlineLevel="0" collapsed="false">
      <c r="A216" s="5" t="n">
        <v>54</v>
      </c>
      <c r="B216" s="5" t="n">
        <v>447</v>
      </c>
      <c r="C216" s="5" t="s">
        <v>143</v>
      </c>
      <c r="D216" s="5" t="s">
        <v>144</v>
      </c>
      <c r="E216" s="5" t="n">
        <v>25700</v>
      </c>
      <c r="F216" s="27" t="n">
        <v>45869</v>
      </c>
      <c r="G216" s="28" t="n">
        <v>45824.4694444445</v>
      </c>
      <c r="H216" s="28" t="n">
        <v>45849.6361111111</v>
      </c>
      <c r="I216" s="24" t="n">
        <v>228.4</v>
      </c>
      <c r="J216" s="24" t="n">
        <v>79.4</v>
      </c>
      <c r="K216" s="24" t="n">
        <v>-149</v>
      </c>
      <c r="L216" s="24" t="n">
        <v>11175</v>
      </c>
      <c r="M216" s="24" t="n">
        <v>-0.23</v>
      </c>
      <c r="N216" s="24" t="n">
        <v>75</v>
      </c>
      <c r="O216" s="5" t="str">
        <f aca="false">IF(ABS((J216-I216)-K216)&lt;=0.051,"OK","MISMATCH")</f>
        <v>OK</v>
      </c>
      <c r="P216" s="5" t="str">
        <f aca="false">IF(ABS(IF(C216="Buy",1,-1)*(J216-I216)*N216-L216)&lt;=1.01,"OK","MISMATCH")</f>
        <v>OK</v>
      </c>
    </row>
    <row r="217" customFormat="false" ht="15" hidden="false" customHeight="false" outlineLevel="0" collapsed="false">
      <c r="A217" s="5" t="n">
        <v>54</v>
      </c>
      <c r="B217" s="5" t="n">
        <v>448</v>
      </c>
      <c r="C217" s="5" t="s">
        <v>141</v>
      </c>
      <c r="D217" s="5" t="s">
        <v>144</v>
      </c>
      <c r="E217" s="5" t="n">
        <v>25900</v>
      </c>
      <c r="F217" s="27" t="n">
        <v>45869</v>
      </c>
      <c r="G217" s="28" t="n">
        <v>45824.4694444445</v>
      </c>
      <c r="H217" s="28" t="n">
        <v>45849.6361111111</v>
      </c>
      <c r="I217" s="24" t="n">
        <v>168.8</v>
      </c>
      <c r="J217" s="24" t="n">
        <v>46.5</v>
      </c>
      <c r="K217" s="24" t="n">
        <v>-122.3</v>
      </c>
      <c r="L217" s="24" t="n">
        <v>-9172</v>
      </c>
      <c r="M217" s="24" t="n">
        <v>0.15</v>
      </c>
      <c r="N217" s="24" t="n">
        <v>75</v>
      </c>
      <c r="O217" s="5" t="str">
        <f aca="false">IF(ABS((J217-I217)-K217)&lt;=0.051,"OK","MISMATCH")</f>
        <v>OK</v>
      </c>
      <c r="P217" s="5" t="str">
        <f aca="false">IF(ABS(IF(C217="Buy",1,-1)*(J217-I217)*N217-L217)&lt;=1.01,"OK","MISMATCH")</f>
        <v>OK</v>
      </c>
    </row>
    <row r="218" customFormat="false" ht="15" hidden="false" customHeight="false" outlineLevel="0" collapsed="false">
      <c r="A218" s="5" t="n">
        <v>55</v>
      </c>
      <c r="B218" s="5" t="n">
        <v>453</v>
      </c>
      <c r="C218" s="5" t="s">
        <v>143</v>
      </c>
      <c r="D218" s="5" t="s">
        <v>142</v>
      </c>
      <c r="E218" s="5" t="n">
        <v>24700</v>
      </c>
      <c r="F218" s="27" t="n">
        <v>45897</v>
      </c>
      <c r="G218" s="28" t="n">
        <v>45852.4694444445</v>
      </c>
      <c r="H218" s="28" t="n">
        <v>45882.6361111111</v>
      </c>
      <c r="I218" s="24" t="n">
        <v>209.6</v>
      </c>
      <c r="J218" s="24" t="n">
        <v>194.6</v>
      </c>
      <c r="K218" s="24" t="n">
        <v>-15</v>
      </c>
      <c r="L218" s="24" t="n">
        <v>1125</v>
      </c>
      <c r="M218" s="24" t="n">
        <v>0.48</v>
      </c>
      <c r="N218" s="24" t="n">
        <v>75</v>
      </c>
      <c r="O218" s="5" t="str">
        <f aca="false">IF(ABS((J218-I218)-K218)&lt;=0.051,"OK","MISMATCH")</f>
        <v>OK</v>
      </c>
      <c r="P218" s="5" t="str">
        <f aca="false">IF(ABS(IF(C218="Buy",1,-1)*(J218-I218)*N218-L218)&lt;=1.01,"OK","MISMATCH")</f>
        <v>OK</v>
      </c>
    </row>
    <row r="219" customFormat="false" ht="15" hidden="false" customHeight="false" outlineLevel="0" collapsed="false">
      <c r="A219" s="5" t="n">
        <v>55</v>
      </c>
      <c r="B219" s="5" t="n">
        <v>454</v>
      </c>
      <c r="C219" s="5" t="s">
        <v>141</v>
      </c>
      <c r="D219" s="5" t="s">
        <v>142</v>
      </c>
      <c r="E219" s="5" t="n">
        <v>24500</v>
      </c>
      <c r="F219" s="27" t="n">
        <v>45897</v>
      </c>
      <c r="G219" s="28" t="n">
        <v>45852.4694444445</v>
      </c>
      <c r="H219" s="28" t="n">
        <v>45882.6361111111</v>
      </c>
      <c r="I219" s="24" t="n">
        <v>164</v>
      </c>
      <c r="J219" s="24" t="n">
        <v>121.2</v>
      </c>
      <c r="K219" s="24" t="n">
        <v>-42.8</v>
      </c>
      <c r="L219" s="24" t="n">
        <v>-3210</v>
      </c>
      <c r="M219" s="24" t="n">
        <v>-0.34</v>
      </c>
      <c r="N219" s="24" t="n">
        <v>75</v>
      </c>
      <c r="O219" s="5" t="str">
        <f aca="false">IF(ABS((J219-I219)-K219)&lt;=0.051,"OK","MISMATCH")</f>
        <v>OK</v>
      </c>
      <c r="P219" s="5" t="str">
        <f aca="false">IF(ABS(IF(C219="Buy",1,-1)*(J219-I219)*N219-L219)&lt;=1.01,"OK","MISMATCH")</f>
        <v>OK</v>
      </c>
    </row>
    <row r="220" customFormat="false" ht="15" hidden="false" customHeight="false" outlineLevel="0" collapsed="false">
      <c r="A220" s="5" t="n">
        <v>55</v>
      </c>
      <c r="B220" s="5" t="n">
        <v>455</v>
      </c>
      <c r="C220" s="5" t="s">
        <v>143</v>
      </c>
      <c r="D220" s="5" t="s">
        <v>144</v>
      </c>
      <c r="E220" s="5" t="n">
        <v>25800</v>
      </c>
      <c r="F220" s="27" t="n">
        <v>45897</v>
      </c>
      <c r="G220" s="28" t="n">
        <v>45852.4694444445</v>
      </c>
      <c r="H220" s="28" t="n">
        <v>45882.6361111111</v>
      </c>
      <c r="I220" s="24" t="n">
        <v>180.8</v>
      </c>
      <c r="J220" s="24" t="n">
        <v>7.5</v>
      </c>
      <c r="K220" s="24" t="n">
        <v>-173.3</v>
      </c>
      <c r="L220" s="24" t="n">
        <v>12997</v>
      </c>
      <c r="M220" s="24" t="n">
        <v>-0.03</v>
      </c>
      <c r="N220" s="24" t="n">
        <v>75</v>
      </c>
      <c r="O220" s="5" t="str">
        <f aca="false">IF(ABS((J220-I220)-K220)&lt;=0.051,"OK","MISMATCH")</f>
        <v>OK</v>
      </c>
      <c r="P220" s="5" t="str">
        <f aca="false">IF(ABS(IF(C220="Buy",1,-1)*(J220-I220)*N220-L220)&lt;=1.01,"OK","MISMATCH")</f>
        <v>OK</v>
      </c>
    </row>
    <row r="221" customFormat="false" ht="15" hidden="false" customHeight="false" outlineLevel="0" collapsed="false">
      <c r="A221" s="5" t="n">
        <v>55</v>
      </c>
      <c r="B221" s="5" t="n">
        <v>456</v>
      </c>
      <c r="C221" s="5" t="s">
        <v>141</v>
      </c>
      <c r="D221" s="5" t="s">
        <v>144</v>
      </c>
      <c r="E221" s="5" t="n">
        <v>26000</v>
      </c>
      <c r="F221" s="27" t="n">
        <v>45897</v>
      </c>
      <c r="G221" s="28" t="n">
        <v>45852.4694444445</v>
      </c>
      <c r="H221" s="28" t="n">
        <v>45882.6361111111</v>
      </c>
      <c r="I221" s="24" t="n">
        <v>129.5</v>
      </c>
      <c r="J221" s="24" t="n">
        <v>5.7</v>
      </c>
      <c r="K221" s="24" t="n">
        <v>-123.8</v>
      </c>
      <c r="L221" s="24" t="n">
        <v>-9285</v>
      </c>
      <c r="M221" s="24" t="n">
        <v>0.02</v>
      </c>
      <c r="N221" s="24" t="n">
        <v>75</v>
      </c>
      <c r="O221" s="5" t="str">
        <f aca="false">IF(ABS((J221-I221)-K221)&lt;=0.051,"OK","MISMATCH")</f>
        <v>OK</v>
      </c>
      <c r="P221" s="5" t="str">
        <f aca="false">IF(ABS(IF(C221="Buy",1,-1)*(J221-I221)*N221-L221)&lt;=1.01,"OK","MISMATCH")</f>
        <v>OK</v>
      </c>
    </row>
    <row r="222" customFormat="false" ht="15" hidden="false" customHeight="false" outlineLevel="0" collapsed="false">
      <c r="A222" s="5" t="n">
        <v>56</v>
      </c>
      <c r="B222" s="5" t="n">
        <v>461</v>
      </c>
      <c r="C222" s="5" t="s">
        <v>143</v>
      </c>
      <c r="D222" s="5" t="s">
        <v>142</v>
      </c>
      <c r="E222" s="5" t="n">
        <v>24600</v>
      </c>
      <c r="F222" s="27" t="n">
        <v>45930</v>
      </c>
      <c r="G222" s="28" t="n">
        <v>45887.4694444445</v>
      </c>
      <c r="H222" s="28" t="n">
        <v>45910.6361111111</v>
      </c>
      <c r="I222" s="24" t="n">
        <v>182.5</v>
      </c>
      <c r="J222" s="24" t="n">
        <v>73.8</v>
      </c>
      <c r="K222" s="24" t="n">
        <v>-108.7</v>
      </c>
      <c r="L222" s="24" t="n">
        <v>8152</v>
      </c>
      <c r="M222" s="24" t="n">
        <v>0.21</v>
      </c>
      <c r="N222" s="24" t="n">
        <v>75</v>
      </c>
      <c r="O222" s="5" t="str">
        <f aca="false">IF(ABS((J222-I222)-K222)&lt;=0.051,"OK","MISMATCH")</f>
        <v>OK</v>
      </c>
      <c r="P222" s="5" t="str">
        <f aca="false">IF(ABS(IF(C222="Buy",1,-1)*(J222-I222)*N222-L222)&lt;=1.01,"OK","MISMATCH")</f>
        <v>OK</v>
      </c>
    </row>
    <row r="223" customFormat="false" ht="15" hidden="false" customHeight="false" outlineLevel="0" collapsed="false">
      <c r="A223" s="5" t="n">
        <v>56</v>
      </c>
      <c r="B223" s="5" t="n">
        <v>462</v>
      </c>
      <c r="C223" s="5" t="s">
        <v>141</v>
      </c>
      <c r="D223" s="5" t="s">
        <v>142</v>
      </c>
      <c r="E223" s="5" t="n">
        <v>24400</v>
      </c>
      <c r="F223" s="27" t="n">
        <v>45930</v>
      </c>
      <c r="G223" s="28" t="n">
        <v>45887.4694444445</v>
      </c>
      <c r="H223" s="28" t="n">
        <v>45910.6361111111</v>
      </c>
      <c r="I223" s="24" t="n">
        <v>135.8</v>
      </c>
      <c r="J223" s="24" t="n">
        <v>46.9</v>
      </c>
      <c r="K223" s="24" t="n">
        <v>-88.9</v>
      </c>
      <c r="L223" s="24" t="n">
        <v>-6667</v>
      </c>
      <c r="M223" s="24" t="n">
        <v>-0.14</v>
      </c>
      <c r="N223" s="24" t="n">
        <v>75</v>
      </c>
      <c r="O223" s="5" t="str">
        <f aca="false">IF(ABS((J223-I223)-K223)&lt;=0.051,"OK","MISMATCH")</f>
        <v>OK</v>
      </c>
      <c r="P223" s="5" t="str">
        <f aca="false">IF(ABS(IF(C223="Buy",1,-1)*(J223-I223)*N223-L223)&lt;=1.01,"OK","MISMATCH")</f>
        <v>OK</v>
      </c>
    </row>
    <row r="224" customFormat="false" ht="15" hidden="false" customHeight="false" outlineLevel="0" collapsed="false">
      <c r="A224" s="5" t="n">
        <v>56</v>
      </c>
      <c r="B224" s="5" t="n">
        <v>463</v>
      </c>
      <c r="C224" s="5" t="s">
        <v>143</v>
      </c>
      <c r="D224" s="5" t="s">
        <v>144</v>
      </c>
      <c r="E224" s="5" t="n">
        <v>25700</v>
      </c>
      <c r="F224" s="27" t="n">
        <v>45930</v>
      </c>
      <c r="G224" s="28" t="n">
        <v>45887.4694444445</v>
      </c>
      <c r="H224" s="28" t="n">
        <v>45910.6361111111</v>
      </c>
      <c r="I224" s="24" t="n">
        <v>166.2</v>
      </c>
      <c r="J224" s="24" t="n">
        <v>33.5</v>
      </c>
      <c r="K224" s="24" t="n">
        <v>-132.7</v>
      </c>
      <c r="L224" s="24" t="n">
        <v>9952</v>
      </c>
      <c r="M224" s="24" t="n">
        <v>-0.13</v>
      </c>
      <c r="N224" s="24" t="n">
        <v>75</v>
      </c>
      <c r="O224" s="5" t="str">
        <f aca="false">IF(ABS((J224-I224)-K224)&lt;=0.051,"OK","MISMATCH")</f>
        <v>OK</v>
      </c>
      <c r="P224" s="5" t="str">
        <f aca="false">IF(ABS(IF(C224="Buy",1,-1)*(J224-I224)*N224-L224)&lt;=1.01,"OK","MISMATCH")</f>
        <v>OK</v>
      </c>
    </row>
    <row r="225" customFormat="false" ht="15" hidden="false" customHeight="false" outlineLevel="0" collapsed="false">
      <c r="A225" s="5" t="n">
        <v>56</v>
      </c>
      <c r="B225" s="5" t="n">
        <v>464</v>
      </c>
      <c r="C225" s="5" t="s">
        <v>141</v>
      </c>
      <c r="D225" s="5" t="s">
        <v>144</v>
      </c>
      <c r="E225" s="5" t="n">
        <v>25900</v>
      </c>
      <c r="F225" s="27" t="n">
        <v>45930</v>
      </c>
      <c r="G225" s="28" t="n">
        <v>45887.4694444445</v>
      </c>
      <c r="H225" s="28" t="n">
        <v>45910.6361111111</v>
      </c>
      <c r="I225" s="24" t="n">
        <v>115</v>
      </c>
      <c r="J225" s="24" t="n">
        <v>18.2</v>
      </c>
      <c r="K225" s="24" t="n">
        <v>-96.8</v>
      </c>
      <c r="L225" s="24" t="n">
        <v>-7260</v>
      </c>
      <c r="M225" s="24" t="n">
        <v>0.07</v>
      </c>
      <c r="N225" s="24" t="n">
        <v>75</v>
      </c>
      <c r="O225" s="5" t="str">
        <f aca="false">IF(ABS((J225-I225)-K225)&lt;=0.051,"OK","MISMATCH")</f>
        <v>OK</v>
      </c>
      <c r="P225" s="5" t="str">
        <f aca="false">IF(ABS(IF(C225="Buy",1,-1)*(J225-I225)*N225-L225)&lt;=1.01,"OK","MISMATCH")</f>
        <v>OK</v>
      </c>
    </row>
    <row r="226" customFormat="false" ht="15" hidden="false" customHeight="false" outlineLevel="0" collapsed="false">
      <c r="A226" s="5" t="n">
        <v>57</v>
      </c>
      <c r="B226" s="5" t="n">
        <v>469</v>
      </c>
      <c r="C226" s="5" t="s">
        <v>141</v>
      </c>
      <c r="D226" s="5" t="s">
        <v>142</v>
      </c>
      <c r="E226" s="5" t="n">
        <v>24600</v>
      </c>
      <c r="F226" s="27" t="n">
        <v>45958</v>
      </c>
      <c r="G226" s="28" t="n">
        <v>45915.4694444445</v>
      </c>
      <c r="H226" s="28" t="n">
        <v>45943.6361111111</v>
      </c>
      <c r="I226" s="24" t="n">
        <v>121.8</v>
      </c>
      <c r="J226" s="24" t="n">
        <v>36.4</v>
      </c>
      <c r="K226" s="24" t="n">
        <v>-85.4</v>
      </c>
      <c r="L226" s="24" t="n">
        <v>-6405</v>
      </c>
      <c r="M226" s="24" t="n">
        <v>-0.12</v>
      </c>
      <c r="N226" s="24" t="n">
        <v>75</v>
      </c>
      <c r="O226" s="5" t="str">
        <f aca="false">IF(ABS((J226-I226)-K226)&lt;=0.051,"OK","MISMATCH")</f>
        <v>OK</v>
      </c>
      <c r="P226" s="5" t="str">
        <f aca="false">IF(ABS(IF(C226="Buy",1,-1)*(J226-I226)*N226-L226)&lt;=1.01,"OK","MISMATCH")</f>
        <v>OK</v>
      </c>
    </row>
    <row r="227" customFormat="false" ht="15" hidden="false" customHeight="false" outlineLevel="0" collapsed="false">
      <c r="A227" s="5" t="n">
        <v>57</v>
      </c>
      <c r="B227" s="5" t="n">
        <v>470</v>
      </c>
      <c r="C227" s="5" t="s">
        <v>143</v>
      </c>
      <c r="D227" s="5" t="s">
        <v>144</v>
      </c>
      <c r="E227" s="5" t="n">
        <v>25750</v>
      </c>
      <c r="F227" s="27" t="n">
        <v>45958</v>
      </c>
      <c r="G227" s="28" t="n">
        <v>45915.4694444445</v>
      </c>
      <c r="H227" s="28" t="n">
        <v>45943.6361111111</v>
      </c>
      <c r="I227" s="24" t="n">
        <v>146.3</v>
      </c>
      <c r="J227" s="24" t="n">
        <v>46.3</v>
      </c>
      <c r="K227" s="24" t="n">
        <v>-100</v>
      </c>
      <c r="L227" s="24" t="n">
        <v>7500</v>
      </c>
      <c r="M227" s="24" t="n">
        <v>-0.18</v>
      </c>
      <c r="N227" s="24" t="n">
        <v>75</v>
      </c>
      <c r="O227" s="5" t="str">
        <f aca="false">IF(ABS((J227-I227)-K227)&lt;=0.051,"OK","MISMATCH")</f>
        <v>OK</v>
      </c>
      <c r="P227" s="5" t="str">
        <f aca="false">IF(ABS(IF(C227="Buy",1,-1)*(J227-I227)*N227-L227)&lt;=1.01,"OK","MISMATCH")</f>
        <v>OK</v>
      </c>
    </row>
    <row r="228" customFormat="false" ht="15" hidden="false" customHeight="false" outlineLevel="0" collapsed="false">
      <c r="A228" s="5" t="n">
        <v>57</v>
      </c>
      <c r="B228" s="5" t="n">
        <v>471</v>
      </c>
      <c r="C228" s="5" t="s">
        <v>141</v>
      </c>
      <c r="D228" s="5" t="s">
        <v>144</v>
      </c>
      <c r="E228" s="5" t="n">
        <v>25950</v>
      </c>
      <c r="F228" s="27" t="n">
        <v>45958</v>
      </c>
      <c r="G228" s="28" t="n">
        <v>45915.4694444445</v>
      </c>
      <c r="H228" s="28" t="n">
        <v>45943.6361111111</v>
      </c>
      <c r="I228" s="24" t="n">
        <v>98.5</v>
      </c>
      <c r="J228" s="24" t="n">
        <v>23.1</v>
      </c>
      <c r="K228" s="24" t="n">
        <v>-75.4</v>
      </c>
      <c r="L228" s="24" t="n">
        <v>-5655</v>
      </c>
      <c r="M228" s="24" t="n">
        <v>0.1</v>
      </c>
      <c r="N228" s="24" t="n">
        <v>75</v>
      </c>
      <c r="O228" s="5" t="str">
        <f aca="false">IF(ABS((J228-I228)-K228)&lt;=0.051,"OK","MISMATCH")</f>
        <v>OK</v>
      </c>
      <c r="P228" s="5" t="str">
        <f aca="false">IF(ABS(IF(C228="Buy",1,-1)*(J228-I228)*N228-L228)&lt;=1.01,"OK","MISMATCH")</f>
        <v>OK</v>
      </c>
    </row>
    <row r="229" customFormat="false" ht="15" hidden="false" customHeight="false" outlineLevel="0" collapsed="false">
      <c r="A229" s="5" t="n">
        <v>57</v>
      </c>
      <c r="B229" s="5" t="n">
        <v>472</v>
      </c>
      <c r="C229" s="5" t="s">
        <v>143</v>
      </c>
      <c r="D229" s="5" t="s">
        <v>142</v>
      </c>
      <c r="E229" s="5" t="n">
        <v>24800</v>
      </c>
      <c r="F229" s="27" t="n">
        <v>45958</v>
      </c>
      <c r="G229" s="28" t="n">
        <v>45915.4694444445</v>
      </c>
      <c r="H229" s="28" t="n">
        <v>45943.6361111111</v>
      </c>
      <c r="I229" s="24" t="n">
        <v>164.8</v>
      </c>
      <c r="J229" s="24" t="n">
        <v>58</v>
      </c>
      <c r="K229" s="24" t="n">
        <v>-106.8</v>
      </c>
      <c r="L229" s="24" t="n">
        <v>8010</v>
      </c>
      <c r="M229" s="24" t="n">
        <v>0.18</v>
      </c>
      <c r="N229" s="24" t="n">
        <v>75</v>
      </c>
      <c r="O229" s="5" t="str">
        <f aca="false">IF(ABS((J229-I229)-K229)&lt;=0.051,"OK","MISMATCH")</f>
        <v>OK</v>
      </c>
      <c r="P229" s="5" t="str">
        <f aca="false">IF(ABS(IF(C229="Buy",1,-1)*(J229-I229)*N229-L229)&lt;=1.01,"OK","MISMATCH")</f>
        <v>OK</v>
      </c>
    </row>
    <row r="230" customFormat="false" ht="15" hidden="false" customHeight="false" outlineLevel="0" collapsed="false">
      <c r="A230" s="5" t="n">
        <v>58</v>
      </c>
      <c r="B230" s="5" t="n">
        <v>477</v>
      </c>
      <c r="C230" s="5" t="s">
        <v>143</v>
      </c>
      <c r="D230" s="5" t="s">
        <v>142</v>
      </c>
      <c r="E230" s="5" t="n">
        <v>24900</v>
      </c>
      <c r="F230" s="27" t="n">
        <v>45986</v>
      </c>
      <c r="G230" s="28" t="n">
        <v>45943.4694444445</v>
      </c>
      <c r="H230" s="28" t="n">
        <v>45971.6361111111</v>
      </c>
      <c r="I230" s="24" t="n">
        <v>183</v>
      </c>
      <c r="J230" s="24" t="n">
        <v>33.8</v>
      </c>
      <c r="K230" s="24" t="n">
        <v>-149.2</v>
      </c>
      <c r="L230" s="24" t="n">
        <v>11190</v>
      </c>
      <c r="M230" s="24" t="n">
        <v>0.11</v>
      </c>
      <c r="N230" s="24" t="n">
        <v>75</v>
      </c>
      <c r="O230" s="5" t="str">
        <f aca="false">IF(ABS((J230-I230)-K230)&lt;=0.051,"OK","MISMATCH")</f>
        <v>OK</v>
      </c>
      <c r="P230" s="5" t="str">
        <f aca="false">IF(ABS(IF(C230="Buy",1,-1)*(J230-I230)*N230-L230)&lt;=1.01,"OK","MISMATCH")</f>
        <v>OK</v>
      </c>
    </row>
    <row r="231" customFormat="false" ht="15" hidden="false" customHeight="false" outlineLevel="0" collapsed="false">
      <c r="A231" s="5" t="n">
        <v>58</v>
      </c>
      <c r="B231" s="5" t="n">
        <v>478</v>
      </c>
      <c r="C231" s="5" t="s">
        <v>141</v>
      </c>
      <c r="D231" s="5" t="s">
        <v>142</v>
      </c>
      <c r="E231" s="5" t="n">
        <v>24700</v>
      </c>
      <c r="F231" s="27" t="n">
        <v>45986</v>
      </c>
      <c r="G231" s="28" t="n">
        <v>45943.4694444445</v>
      </c>
      <c r="H231" s="28" t="n">
        <v>45971.6361111111</v>
      </c>
      <c r="I231" s="24" t="n">
        <v>137</v>
      </c>
      <c r="J231" s="24" t="n">
        <v>22.6</v>
      </c>
      <c r="K231" s="24" t="n">
        <v>-114.4</v>
      </c>
      <c r="L231" s="24" t="n">
        <v>-8580</v>
      </c>
      <c r="M231" s="24" t="n">
        <v>-0.07</v>
      </c>
      <c r="N231" s="24" t="n">
        <v>75</v>
      </c>
      <c r="O231" s="5" t="str">
        <f aca="false">IF(ABS((J231-I231)-K231)&lt;=0.051,"OK","MISMATCH")</f>
        <v>OK</v>
      </c>
      <c r="P231" s="5" t="str">
        <f aca="false">IF(ABS(IF(C231="Buy",1,-1)*(J231-I231)*N231-L231)&lt;=1.01,"OK","MISMATCH")</f>
        <v>OK</v>
      </c>
    </row>
    <row r="232" customFormat="false" ht="15" hidden="false" customHeight="false" outlineLevel="0" collapsed="false">
      <c r="A232" s="5" t="n">
        <v>58</v>
      </c>
      <c r="B232" s="5" t="n">
        <v>479</v>
      </c>
      <c r="C232" s="5" t="s">
        <v>143</v>
      </c>
      <c r="D232" s="5" t="s">
        <v>144</v>
      </c>
      <c r="E232" s="5" t="n">
        <v>25900</v>
      </c>
      <c r="F232" s="27" t="n">
        <v>45986</v>
      </c>
      <c r="G232" s="28" t="n">
        <v>45943.4694444445</v>
      </c>
      <c r="H232" s="28" t="n">
        <v>45971.6361111111</v>
      </c>
      <c r="I232" s="24" t="n">
        <v>149.7</v>
      </c>
      <c r="J232" s="24" t="n">
        <v>135.9</v>
      </c>
      <c r="K232" s="24" t="n">
        <v>-13.8</v>
      </c>
      <c r="L232" s="24" t="n">
        <v>1035</v>
      </c>
      <c r="M232" s="24" t="n">
        <v>-0.36</v>
      </c>
      <c r="N232" s="24" t="n">
        <v>75</v>
      </c>
      <c r="O232" s="5" t="str">
        <f aca="false">IF(ABS((J232-I232)-K232)&lt;=0.051,"OK","MISMATCH")</f>
        <v>OK</v>
      </c>
      <c r="P232" s="5" t="str">
        <f aca="false">IF(ABS(IF(C232="Buy",1,-1)*(J232-I232)*N232-L232)&lt;=1.01,"OK","MISMATCH")</f>
        <v>OK</v>
      </c>
    </row>
    <row r="233" customFormat="false" ht="15" hidden="false" customHeight="false" outlineLevel="0" collapsed="false">
      <c r="A233" s="5" t="n">
        <v>58</v>
      </c>
      <c r="B233" s="5" t="n">
        <v>480</v>
      </c>
      <c r="C233" s="5" t="s">
        <v>141</v>
      </c>
      <c r="D233" s="5" t="s">
        <v>144</v>
      </c>
      <c r="E233" s="5" t="n">
        <v>26100</v>
      </c>
      <c r="F233" s="27" t="n">
        <v>45986</v>
      </c>
      <c r="G233" s="28" t="n">
        <v>45943.4694444445</v>
      </c>
      <c r="H233" s="28" t="n">
        <v>45971.6361111111</v>
      </c>
      <c r="I233" s="24" t="n">
        <v>99.6</v>
      </c>
      <c r="J233" s="24" t="n">
        <v>76.3</v>
      </c>
      <c r="K233" s="24" t="n">
        <v>-23.3</v>
      </c>
      <c r="L233" s="24" t="n">
        <v>-1747</v>
      </c>
      <c r="M233" s="24" t="n">
        <v>0.24</v>
      </c>
      <c r="N233" s="24" t="n">
        <v>75</v>
      </c>
      <c r="O233" s="5" t="str">
        <f aca="false">IF(ABS((J233-I233)-K233)&lt;=0.051,"OK","MISMATCH")</f>
        <v>OK</v>
      </c>
      <c r="P233" s="5" t="str">
        <f aca="false">IF(ABS(IF(C233="Buy",1,-1)*(J233-I233)*N233-L233)&lt;=1.01,"OK","MISMATCH")</f>
        <v>OK</v>
      </c>
    </row>
    <row r="234" customFormat="false" ht="15" hidden="false" customHeight="false" outlineLevel="0" collapsed="false">
      <c r="A234" s="5" t="n">
        <v>59</v>
      </c>
      <c r="B234" s="5" t="n">
        <v>485</v>
      </c>
      <c r="C234" s="5" t="s">
        <v>143</v>
      </c>
      <c r="D234" s="5" t="s">
        <v>142</v>
      </c>
      <c r="E234" s="5" t="n">
        <v>25700</v>
      </c>
      <c r="F234" s="27" t="n">
        <v>46021</v>
      </c>
      <c r="G234" s="28" t="n">
        <v>45978.4694444445</v>
      </c>
      <c r="H234" s="28" t="n">
        <v>46003.6361111111</v>
      </c>
      <c r="I234" s="24" t="n">
        <v>188.9</v>
      </c>
      <c r="J234" s="24" t="n">
        <v>61.5</v>
      </c>
      <c r="K234" s="24" t="n">
        <v>-127.4</v>
      </c>
      <c r="L234" s="24" t="n">
        <v>9555</v>
      </c>
      <c r="M234" s="24" t="n">
        <v>0.2</v>
      </c>
      <c r="N234" s="24" t="n">
        <v>75</v>
      </c>
      <c r="O234" s="5" t="str">
        <f aca="false">IF(ABS((J234-I234)-K234)&lt;=0.051,"OK","MISMATCH")</f>
        <v>OK</v>
      </c>
      <c r="P234" s="5" t="str">
        <f aca="false">IF(ABS(IF(C234="Buy",1,-1)*(J234-I234)*N234-L234)&lt;=1.01,"OK","MISMATCH")</f>
        <v>OK</v>
      </c>
    </row>
    <row r="235" customFormat="false" ht="15" hidden="false" customHeight="false" outlineLevel="0" collapsed="false">
      <c r="A235" s="5" t="n">
        <v>59</v>
      </c>
      <c r="B235" s="5" t="n">
        <v>486</v>
      </c>
      <c r="C235" s="5" t="s">
        <v>141</v>
      </c>
      <c r="D235" s="5" t="s">
        <v>142</v>
      </c>
      <c r="E235" s="5" t="n">
        <v>25500</v>
      </c>
      <c r="F235" s="27" t="n">
        <v>46021</v>
      </c>
      <c r="G235" s="28" t="n">
        <v>45978.4694444445</v>
      </c>
      <c r="H235" s="28" t="n">
        <v>46003.6361111111</v>
      </c>
      <c r="I235" s="24" t="n">
        <v>141.3</v>
      </c>
      <c r="J235" s="24" t="n">
        <v>38.1</v>
      </c>
      <c r="K235" s="24" t="n">
        <v>-103.2</v>
      </c>
      <c r="L235" s="24" t="n">
        <v>-7740</v>
      </c>
      <c r="M235" s="24" t="n">
        <v>-0.13</v>
      </c>
      <c r="N235" s="24" t="n">
        <v>75</v>
      </c>
      <c r="O235" s="5" t="str">
        <f aca="false">IF(ABS((J235-I235)-K235)&lt;=0.051,"OK","MISMATCH")</f>
        <v>OK</v>
      </c>
      <c r="P235" s="5" t="str">
        <f aca="false">IF(ABS(IF(C235="Buy",1,-1)*(J235-I235)*N235-L235)&lt;=1.01,"OK","MISMATCH")</f>
        <v>OK</v>
      </c>
    </row>
    <row r="236" customFormat="false" ht="15" hidden="false" customHeight="false" outlineLevel="0" collapsed="false">
      <c r="A236" s="5" t="n">
        <v>59</v>
      </c>
      <c r="B236" s="5" t="n">
        <v>487</v>
      </c>
      <c r="C236" s="5" t="s">
        <v>143</v>
      </c>
      <c r="D236" s="5" t="s">
        <v>144</v>
      </c>
      <c r="E236" s="5" t="n">
        <v>26700</v>
      </c>
      <c r="F236" s="27" t="n">
        <v>46021</v>
      </c>
      <c r="G236" s="28" t="n">
        <v>45978.4694444445</v>
      </c>
      <c r="H236" s="28" t="n">
        <v>46003.6361111111</v>
      </c>
      <c r="I236" s="24" t="n">
        <v>169</v>
      </c>
      <c r="J236" s="24" t="n">
        <v>31.3</v>
      </c>
      <c r="K236" s="24" t="n">
        <v>-137.7</v>
      </c>
      <c r="L236" s="24" t="n">
        <v>10327</v>
      </c>
      <c r="M236" s="24" t="n">
        <v>-0.13</v>
      </c>
      <c r="N236" s="24" t="n">
        <v>75</v>
      </c>
      <c r="O236" s="5" t="str">
        <f aca="false">IF(ABS((J236-I236)-K236)&lt;=0.051,"OK","MISMATCH")</f>
        <v>OK</v>
      </c>
      <c r="P236" s="5" t="str">
        <f aca="false">IF(ABS(IF(C236="Buy",1,-1)*(J236-I236)*N236-L236)&lt;=1.01,"OK","MISMATCH")</f>
        <v>OK</v>
      </c>
    </row>
    <row r="237" customFormat="false" ht="15" hidden="false" customHeight="false" outlineLevel="0" collapsed="false">
      <c r="A237" s="5" t="n">
        <v>59</v>
      </c>
      <c r="B237" s="5" t="n">
        <v>488</v>
      </c>
      <c r="C237" s="5" t="s">
        <v>141</v>
      </c>
      <c r="D237" s="5" t="s">
        <v>144</v>
      </c>
      <c r="E237" s="5" t="n">
        <v>26900</v>
      </c>
      <c r="F237" s="27" t="n">
        <v>46021</v>
      </c>
      <c r="G237" s="28" t="n">
        <v>45978.4694444445</v>
      </c>
      <c r="H237" s="28" t="n">
        <v>46003.6361111111</v>
      </c>
      <c r="I237" s="24" t="n">
        <v>116.2</v>
      </c>
      <c r="J237" s="24" t="n">
        <v>15.7</v>
      </c>
      <c r="K237" s="24" t="n">
        <v>-100.5</v>
      </c>
      <c r="L237" s="24" t="n">
        <v>-7537</v>
      </c>
      <c r="M237" s="24" t="n">
        <v>0.07</v>
      </c>
      <c r="N237" s="24" t="n">
        <v>75</v>
      </c>
      <c r="O237" s="5" t="str">
        <f aca="false">IF(ABS((J237-I237)-K237)&lt;=0.051,"OK","MISMATCH")</f>
        <v>OK</v>
      </c>
      <c r="P237" s="5" t="str">
        <f aca="false">IF(ABS(IF(C237="Buy",1,-1)*(J237-I237)*N237-L237)&lt;=1.01,"OK","MISMATCH")</f>
        <v>OK</v>
      </c>
    </row>
    <row r="238" customFormat="false" ht="15" hidden="false" customHeight="false" outlineLevel="0" collapsed="false">
      <c r="A238" s="5" t="n">
        <v>60</v>
      </c>
      <c r="B238" s="5" t="n">
        <v>493</v>
      </c>
      <c r="C238" s="5" t="s">
        <v>143</v>
      </c>
      <c r="D238" s="5" t="s">
        <v>142</v>
      </c>
      <c r="E238" s="5" t="n">
        <v>25700</v>
      </c>
      <c r="F238" s="27" t="n">
        <v>46049</v>
      </c>
      <c r="G238" s="28" t="n">
        <v>46006.4694444445</v>
      </c>
      <c r="H238" s="28" t="n">
        <v>46029.6361111111</v>
      </c>
      <c r="I238" s="24" t="n">
        <v>163.1</v>
      </c>
      <c r="J238" s="24" t="n">
        <v>46.9</v>
      </c>
      <c r="K238" s="24" t="n">
        <v>-116.2</v>
      </c>
      <c r="L238" s="24" t="n">
        <v>7553</v>
      </c>
      <c r="M238" s="24" t="n">
        <v>0.16</v>
      </c>
      <c r="N238" s="24" t="n">
        <v>65</v>
      </c>
      <c r="O238" s="5" t="str">
        <f aca="false">IF(ABS((J238-I238)-K238)&lt;=0.051,"OK","MISMATCH")</f>
        <v>OK</v>
      </c>
      <c r="P238" s="5" t="str">
        <f aca="false">IF(ABS(IF(C238="Buy",1,-1)*(J238-I238)*N238-L238)&lt;=1.01,"OK","MISMATCH")</f>
        <v>OK</v>
      </c>
    </row>
    <row r="239" customFormat="false" ht="15" hidden="false" customHeight="false" outlineLevel="0" collapsed="false">
      <c r="A239" s="5" t="n">
        <v>60</v>
      </c>
      <c r="B239" s="5" t="n">
        <v>494</v>
      </c>
      <c r="C239" s="5" t="s">
        <v>141</v>
      </c>
      <c r="D239" s="5" t="s">
        <v>142</v>
      </c>
      <c r="E239" s="5" t="n">
        <v>25500</v>
      </c>
      <c r="F239" s="27" t="n">
        <v>46049</v>
      </c>
      <c r="G239" s="28" t="n">
        <v>46006.4694444445</v>
      </c>
      <c r="H239" s="28" t="n">
        <v>46029.6361111111</v>
      </c>
      <c r="I239" s="24" t="n">
        <v>122</v>
      </c>
      <c r="J239" s="24" t="n">
        <v>28.1</v>
      </c>
      <c r="K239" s="24" t="n">
        <v>-93.9</v>
      </c>
      <c r="L239" s="24" t="n">
        <v>-6103</v>
      </c>
      <c r="M239" s="24" t="n">
        <v>-0.1</v>
      </c>
      <c r="N239" s="24" t="n">
        <v>65</v>
      </c>
      <c r="O239" s="5" t="str">
        <f aca="false">IF(ABS((J239-I239)-K239)&lt;=0.051,"OK","MISMATCH")</f>
        <v>OK</v>
      </c>
      <c r="P239" s="5" t="str">
        <f aca="false">IF(ABS(IF(C239="Buy",1,-1)*(J239-I239)*N239-L239)&lt;=1.01,"OK","MISMATCH")</f>
        <v>OK</v>
      </c>
    </row>
    <row r="240" customFormat="false" ht="15" hidden="false" customHeight="false" outlineLevel="0" collapsed="false">
      <c r="A240" s="5" t="n">
        <v>60</v>
      </c>
      <c r="B240" s="5" t="n">
        <v>495</v>
      </c>
      <c r="C240" s="5" t="s">
        <v>143</v>
      </c>
      <c r="D240" s="5" t="s">
        <v>144</v>
      </c>
      <c r="E240" s="5" t="n">
        <v>26700</v>
      </c>
      <c r="F240" s="27" t="n">
        <v>46049</v>
      </c>
      <c r="G240" s="28" t="n">
        <v>46006.4694444445</v>
      </c>
      <c r="H240" s="28" t="n">
        <v>46029.6361111111</v>
      </c>
      <c r="I240" s="24" t="n">
        <v>150.6</v>
      </c>
      <c r="J240" s="24" t="n">
        <v>49</v>
      </c>
      <c r="K240" s="24" t="n">
        <v>-101.6</v>
      </c>
      <c r="L240" s="24" t="n">
        <v>6604</v>
      </c>
      <c r="M240" s="24" t="n">
        <v>-0.18</v>
      </c>
      <c r="N240" s="24" t="n">
        <v>65</v>
      </c>
      <c r="O240" s="5" t="str">
        <f aca="false">IF(ABS((J240-I240)-K240)&lt;=0.051,"OK","MISMATCH")</f>
        <v>OK</v>
      </c>
      <c r="P240" s="5" t="str">
        <f aca="false">IF(ABS(IF(C240="Buy",1,-1)*(J240-I240)*N240-L240)&lt;=1.01,"OK","MISMATCH")</f>
        <v>OK</v>
      </c>
    </row>
    <row r="241" customFormat="false" ht="15" hidden="false" customHeight="false" outlineLevel="0" collapsed="false">
      <c r="A241" s="5" t="n">
        <v>60</v>
      </c>
      <c r="B241" s="5" t="n">
        <v>496</v>
      </c>
      <c r="C241" s="5" t="s">
        <v>141</v>
      </c>
      <c r="D241" s="5" t="s">
        <v>144</v>
      </c>
      <c r="E241" s="5" t="n">
        <v>26900</v>
      </c>
      <c r="F241" s="27" t="n">
        <v>46049</v>
      </c>
      <c r="G241" s="28" t="n">
        <v>46006.4694444445</v>
      </c>
      <c r="H241" s="28" t="n">
        <v>46029.6361111111</v>
      </c>
      <c r="I241" s="24" t="n">
        <v>97.8</v>
      </c>
      <c r="J241" s="24" t="n">
        <v>24.9</v>
      </c>
      <c r="K241" s="24" t="n">
        <v>-72.9</v>
      </c>
      <c r="L241" s="24" t="n">
        <v>-4738</v>
      </c>
      <c r="M241" s="24" t="n">
        <v>0.1</v>
      </c>
      <c r="N241" s="24" t="n">
        <v>65</v>
      </c>
      <c r="O241" s="5" t="str">
        <f aca="false">IF(ABS((J241-I241)-K241)&lt;=0.051,"OK","MISMATCH")</f>
        <v>OK</v>
      </c>
      <c r="P241" s="5" t="str">
        <f aca="false">IF(ABS(IF(C241="Buy",1,-1)*(J241-I241)*N241-L241)&lt;=1.01,"OK","MISMATCH")</f>
        <v>OK</v>
      </c>
    </row>
    <row r="242" customFormat="false" ht="15" hidden="false" customHeight="false" outlineLevel="0" collapsed="false">
      <c r="A242" s="5" t="n">
        <v>61</v>
      </c>
      <c r="B242" s="5" t="n">
        <v>501</v>
      </c>
      <c r="C242" s="5" t="s">
        <v>141</v>
      </c>
      <c r="D242" s="5" t="s">
        <v>142</v>
      </c>
      <c r="E242" s="5" t="n">
        <v>25000</v>
      </c>
      <c r="F242" s="27" t="n">
        <v>46077</v>
      </c>
      <c r="G242" s="28" t="n">
        <v>46034.4694444445</v>
      </c>
      <c r="H242" s="28" t="n">
        <v>46062.6361111111</v>
      </c>
      <c r="I242" s="24" t="n">
        <v>140.4</v>
      </c>
      <c r="J242" s="24" t="n">
        <v>36.2</v>
      </c>
      <c r="K242" s="24" t="n">
        <v>-104.2</v>
      </c>
      <c r="L242" s="24" t="n">
        <v>-6773</v>
      </c>
      <c r="M242" s="24" t="n">
        <v>-0.1</v>
      </c>
      <c r="N242" s="24" t="n">
        <v>65</v>
      </c>
      <c r="O242" s="5" t="str">
        <f aca="false">IF(ABS((J242-I242)-K242)&lt;=0.051,"OK","MISMATCH")</f>
        <v>OK</v>
      </c>
      <c r="P242" s="5" t="str">
        <f aca="false">IF(ABS(IF(C242="Buy",1,-1)*(J242-I242)*N242-L242)&lt;=1.01,"OK","MISMATCH")</f>
        <v>OK</v>
      </c>
    </row>
    <row r="243" customFormat="false" ht="15" hidden="false" customHeight="false" outlineLevel="0" collapsed="false">
      <c r="A243" s="5" t="n">
        <v>61</v>
      </c>
      <c r="B243" s="5" t="n">
        <v>502</v>
      </c>
      <c r="C243" s="5" t="s">
        <v>143</v>
      </c>
      <c r="D243" s="5" t="s">
        <v>144</v>
      </c>
      <c r="E243" s="5" t="n">
        <v>26300</v>
      </c>
      <c r="F243" s="27" t="n">
        <v>46077</v>
      </c>
      <c r="G243" s="28" t="n">
        <v>46034.4694444445</v>
      </c>
      <c r="H243" s="28" t="n">
        <v>46062.6361111111</v>
      </c>
      <c r="I243" s="24" t="n">
        <v>187.2</v>
      </c>
      <c r="J243" s="24" t="n">
        <v>76.3</v>
      </c>
      <c r="K243" s="24" t="n">
        <v>-110.9</v>
      </c>
      <c r="L243" s="24" t="n">
        <v>7208</v>
      </c>
      <c r="M243" s="24" t="n">
        <v>-0.24</v>
      </c>
      <c r="N243" s="24" t="n">
        <v>65</v>
      </c>
      <c r="O243" s="5" t="str">
        <f aca="false">IF(ABS((J243-I243)-K243)&lt;=0.051,"OK","MISMATCH")</f>
        <v>OK</v>
      </c>
      <c r="P243" s="5" t="str">
        <f aca="false">IF(ABS(IF(C243="Buy",1,-1)*(J243-I243)*N243-L243)&lt;=1.01,"OK","MISMATCH")</f>
        <v>OK</v>
      </c>
    </row>
    <row r="244" customFormat="false" ht="15" hidden="false" customHeight="false" outlineLevel="0" collapsed="false">
      <c r="A244" s="5" t="n">
        <v>61</v>
      </c>
      <c r="B244" s="5" t="n">
        <v>503</v>
      </c>
      <c r="C244" s="5" t="s">
        <v>141</v>
      </c>
      <c r="D244" s="5" t="s">
        <v>144</v>
      </c>
      <c r="E244" s="5" t="n">
        <v>26500</v>
      </c>
      <c r="F244" s="27" t="n">
        <v>46077</v>
      </c>
      <c r="G244" s="28" t="n">
        <v>46034.4694444445</v>
      </c>
      <c r="H244" s="28" t="n">
        <v>46062.6361111111</v>
      </c>
      <c r="I244" s="24" t="n">
        <v>134.6</v>
      </c>
      <c r="J244" s="24" t="n">
        <v>41.1</v>
      </c>
      <c r="K244" s="24" t="n">
        <v>-93.5</v>
      </c>
      <c r="L244" s="24" t="n">
        <v>-6077</v>
      </c>
      <c r="M244" s="24" t="n">
        <v>0.15</v>
      </c>
      <c r="N244" s="24" t="n">
        <v>65</v>
      </c>
      <c r="O244" s="5" t="str">
        <f aca="false">IF(ABS((J244-I244)-K244)&lt;=0.051,"OK","MISMATCH")</f>
        <v>OK</v>
      </c>
      <c r="P244" s="5" t="str">
        <f aca="false">IF(ABS(IF(C244="Buy",1,-1)*(J244-I244)*N244-L244)&lt;=1.01,"OK","MISMATCH")</f>
        <v>OK</v>
      </c>
    </row>
    <row r="245" customFormat="false" ht="15" hidden="false" customHeight="false" outlineLevel="0" collapsed="false">
      <c r="A245" s="5" t="n">
        <v>61</v>
      </c>
      <c r="B245" s="5" t="n">
        <v>504</v>
      </c>
      <c r="C245" s="5" t="s">
        <v>143</v>
      </c>
      <c r="D245" s="5" t="s">
        <v>142</v>
      </c>
      <c r="E245" s="5" t="n">
        <v>25200</v>
      </c>
      <c r="F245" s="27" t="n">
        <v>46077</v>
      </c>
      <c r="G245" s="28" t="n">
        <v>46034.4694444445</v>
      </c>
      <c r="H245" s="28" t="n">
        <v>46062.6361111111</v>
      </c>
      <c r="I245" s="24" t="n">
        <v>185.9</v>
      </c>
      <c r="J245" s="24" t="n">
        <v>48.3</v>
      </c>
      <c r="K245" s="24" t="n">
        <v>-137.6</v>
      </c>
      <c r="L245" s="24" t="n">
        <v>8944</v>
      </c>
      <c r="M245" s="24" t="n">
        <v>0.14</v>
      </c>
      <c r="N245" s="24" t="n">
        <v>65</v>
      </c>
      <c r="O245" s="5" t="str">
        <f aca="false">IF(ABS((J245-I245)-K245)&lt;=0.051,"OK","MISMATCH")</f>
        <v>OK</v>
      </c>
      <c r="P245" s="5" t="str">
        <f aca="false">IF(ABS(IF(C245="Buy",1,-1)*(J245-I245)*N245-L245)&lt;=1.01,"OK","MISMATCH")</f>
        <v>OK</v>
      </c>
    </row>
    <row r="246" customFormat="false" ht="15" hidden="false" customHeight="false" outlineLevel="0" collapsed="false">
      <c r="A246" s="5" t="n">
        <v>62</v>
      </c>
      <c r="B246" s="5" t="n">
        <v>509</v>
      </c>
      <c r="C246" s="5" t="s">
        <v>141</v>
      </c>
      <c r="D246" s="5" t="s">
        <v>142</v>
      </c>
      <c r="E246" s="5" t="n">
        <v>25000</v>
      </c>
      <c r="F246" s="27" t="n">
        <v>46111</v>
      </c>
      <c r="G246" s="28" t="n">
        <v>46069.4694444445</v>
      </c>
      <c r="H246" s="28" t="n">
        <v>46094.6361111111</v>
      </c>
      <c r="I246" s="24" t="n">
        <v>162.2</v>
      </c>
      <c r="J246" s="24" t="n">
        <v>1803.9</v>
      </c>
      <c r="K246" s="24" t="n">
        <v>1641.7</v>
      </c>
      <c r="L246" s="24" t="n">
        <v>106710</v>
      </c>
      <c r="M246" s="24" t="n">
        <v>-0.94</v>
      </c>
      <c r="N246" s="24" t="n">
        <v>65</v>
      </c>
      <c r="O246" s="5" t="str">
        <f aca="false">IF(ABS((J246-I246)-K246)&lt;=0.051,"OK","MISMATCH")</f>
        <v>OK</v>
      </c>
      <c r="P246" s="5" t="str">
        <f aca="false">IF(ABS(IF(C246="Buy",1,-1)*(J246-I246)*N246-L246)&lt;=1.01,"OK","MISMATCH")</f>
        <v>OK</v>
      </c>
    </row>
    <row r="247" customFormat="false" ht="15" hidden="false" customHeight="false" outlineLevel="0" collapsed="false">
      <c r="A247" s="5" t="n">
        <v>62</v>
      </c>
      <c r="B247" s="5" t="n">
        <v>510</v>
      </c>
      <c r="C247" s="5" t="s">
        <v>143</v>
      </c>
      <c r="D247" s="5" t="s">
        <v>144</v>
      </c>
      <c r="E247" s="5" t="n">
        <v>26200</v>
      </c>
      <c r="F247" s="27" t="n">
        <v>46111</v>
      </c>
      <c r="G247" s="28" t="n">
        <v>46069.4694444445</v>
      </c>
      <c r="H247" s="28" t="n">
        <v>46094.6361111111</v>
      </c>
      <c r="I247" s="24" t="n">
        <v>186</v>
      </c>
      <c r="J247" s="24" t="n">
        <v>8.7</v>
      </c>
      <c r="K247" s="24" t="n">
        <v>-177.3</v>
      </c>
      <c r="L247" s="24" t="n">
        <v>11524</v>
      </c>
      <c r="M247" s="24" t="n">
        <v>-0.02</v>
      </c>
      <c r="N247" s="24" t="n">
        <v>65</v>
      </c>
      <c r="O247" s="5" t="str">
        <f aca="false">IF(ABS((J247-I247)-K247)&lt;=0.051,"OK","MISMATCH")</f>
        <v>OK</v>
      </c>
      <c r="P247" s="5" t="str">
        <f aca="false">IF(ABS(IF(C247="Buy",1,-1)*(J247-I247)*N247-L247)&lt;=1.01,"OK","MISMATCH")</f>
        <v>OK</v>
      </c>
    </row>
    <row r="248" customFormat="false" ht="15" hidden="false" customHeight="false" outlineLevel="0" collapsed="false">
      <c r="A248" s="5" t="n">
        <v>62</v>
      </c>
      <c r="B248" s="5" t="n">
        <v>511</v>
      </c>
      <c r="C248" s="5" t="s">
        <v>141</v>
      </c>
      <c r="D248" s="5" t="s">
        <v>144</v>
      </c>
      <c r="E248" s="5" t="n">
        <v>26400</v>
      </c>
      <c r="F248" s="27" t="n">
        <v>46111</v>
      </c>
      <c r="G248" s="28" t="n">
        <v>46069.4694444445</v>
      </c>
      <c r="H248" s="28" t="n">
        <v>46094.6361111111</v>
      </c>
      <c r="I248" s="24" t="n">
        <v>129.8</v>
      </c>
      <c r="J248" s="24" t="n">
        <v>7.8</v>
      </c>
      <c r="K248" s="24" t="n">
        <v>-122</v>
      </c>
      <c r="L248" s="24" t="n">
        <v>-7930</v>
      </c>
      <c r="M248" s="24" t="n">
        <v>0.02</v>
      </c>
      <c r="N248" s="24" t="n">
        <v>65</v>
      </c>
      <c r="O248" s="5" t="str">
        <f aca="false">IF(ABS((J248-I248)-K248)&lt;=0.051,"OK","MISMATCH")</f>
        <v>OK</v>
      </c>
      <c r="P248" s="5" t="str">
        <f aca="false">IF(ABS(IF(C248="Buy",1,-1)*(J248-I248)*N248-L248)&lt;=1.01,"OK","MISMATCH")</f>
        <v>OK</v>
      </c>
    </row>
    <row r="249" customFormat="false" ht="15" hidden="false" customHeight="false" outlineLevel="0" collapsed="false">
      <c r="A249" s="5" t="n">
        <v>62</v>
      </c>
      <c r="B249" s="5" t="n">
        <v>512</v>
      </c>
      <c r="C249" s="5" t="s">
        <v>143</v>
      </c>
      <c r="D249" s="5" t="s">
        <v>142</v>
      </c>
      <c r="E249" s="5" t="n">
        <v>25200</v>
      </c>
      <c r="F249" s="27" t="n">
        <v>46111</v>
      </c>
      <c r="G249" s="28" t="n">
        <v>46069.4694444445</v>
      </c>
      <c r="H249" s="28" t="n">
        <v>46094.6361111111</v>
      </c>
      <c r="I249" s="24" t="n">
        <v>205.1</v>
      </c>
      <c r="J249" s="24" t="n">
        <v>1994.1</v>
      </c>
      <c r="K249" s="24" t="n">
        <v>1789</v>
      </c>
      <c r="L249" s="24" t="n">
        <v>-116285</v>
      </c>
      <c r="M249" s="24" t="n">
        <v>0.95</v>
      </c>
      <c r="N249" s="24" t="n">
        <v>65</v>
      </c>
      <c r="O249" s="5" t="str">
        <f aca="false">IF(ABS((J249-I249)-K249)&lt;=0.051,"OK","MISMATCH")</f>
        <v>OK</v>
      </c>
      <c r="P249" s="5" t="str">
        <f aca="false">IF(ABS(IF(C249="Buy",1,-1)*(J249-I249)*N249-L249)&lt;=1.01,"OK","MISMATCH")</f>
        <v>OK</v>
      </c>
    </row>
    <row r="250" customFormat="false" ht="15" hidden="false" customHeight="false" outlineLevel="0" collapsed="false">
      <c r="A250" s="5" t="n">
        <v>63</v>
      </c>
      <c r="B250" s="5" t="n">
        <v>517</v>
      </c>
      <c r="C250" s="5" t="s">
        <v>141</v>
      </c>
      <c r="D250" s="5" t="s">
        <v>142</v>
      </c>
      <c r="E250" s="5" t="n">
        <v>22900</v>
      </c>
      <c r="F250" s="27" t="n">
        <v>46168</v>
      </c>
      <c r="G250" s="28" t="n">
        <v>46125.4694444445</v>
      </c>
      <c r="H250" s="28" t="n">
        <v>46153.6361111111</v>
      </c>
      <c r="I250" s="24" t="n">
        <v>298</v>
      </c>
      <c r="J250" s="24" t="n">
        <v>73.3</v>
      </c>
      <c r="K250" s="24" t="n">
        <v>-224.7</v>
      </c>
      <c r="L250" s="24" t="n">
        <v>-14605</v>
      </c>
      <c r="M250" s="24" t="n">
        <v>-0.15</v>
      </c>
      <c r="N250" s="24" t="n">
        <v>65</v>
      </c>
      <c r="O250" s="5" t="str">
        <f aca="false">IF(ABS((J250-I250)-K250)&lt;=0.051,"OK","MISMATCH")</f>
        <v>OK</v>
      </c>
      <c r="P250" s="5" t="str">
        <f aca="false">IF(ABS(IF(C250="Buy",1,-1)*(J250-I250)*N250-L250)&lt;=1.01,"OK","MISMATCH")</f>
        <v>OK</v>
      </c>
    </row>
    <row r="251" customFormat="false" ht="15" hidden="false" customHeight="false" outlineLevel="0" collapsed="false">
      <c r="A251" s="5" t="n">
        <v>63</v>
      </c>
      <c r="B251" s="5" t="n">
        <v>518</v>
      </c>
      <c r="C251" s="5" t="s">
        <v>143</v>
      </c>
      <c r="D251" s="5" t="s">
        <v>144</v>
      </c>
      <c r="E251" s="5" t="n">
        <v>24700</v>
      </c>
      <c r="F251" s="27" t="n">
        <v>46168</v>
      </c>
      <c r="G251" s="28" t="n">
        <v>46125.4694444445</v>
      </c>
      <c r="H251" s="28" t="n">
        <v>46153.6361111111</v>
      </c>
      <c r="I251" s="24" t="n">
        <v>261.8</v>
      </c>
      <c r="J251" s="24" t="n">
        <v>72.9</v>
      </c>
      <c r="K251" s="24" t="n">
        <v>-188.9</v>
      </c>
      <c r="L251" s="24" t="n">
        <v>12278</v>
      </c>
      <c r="M251" s="24" t="n">
        <v>-0.17</v>
      </c>
      <c r="N251" s="24" t="n">
        <v>65</v>
      </c>
      <c r="O251" s="5" t="str">
        <f aca="false">IF(ABS((J251-I251)-K251)&lt;=0.051,"OK","MISMATCH")</f>
        <v>OK</v>
      </c>
      <c r="P251" s="5" t="str">
        <f aca="false">IF(ABS(IF(C251="Buy",1,-1)*(J251-I251)*N251-L251)&lt;=1.01,"OK","MISMATCH")</f>
        <v>OK</v>
      </c>
    </row>
    <row r="252" customFormat="false" ht="15" hidden="false" customHeight="false" outlineLevel="0" collapsed="false">
      <c r="A252" s="5" t="n">
        <v>63</v>
      </c>
      <c r="B252" s="5" t="n">
        <v>519</v>
      </c>
      <c r="C252" s="5" t="s">
        <v>141</v>
      </c>
      <c r="D252" s="5" t="s">
        <v>144</v>
      </c>
      <c r="E252" s="5" t="n">
        <v>24900</v>
      </c>
      <c r="F252" s="27" t="n">
        <v>46168</v>
      </c>
      <c r="G252" s="28" t="n">
        <v>46125.4694444445</v>
      </c>
      <c r="H252" s="28" t="n">
        <v>46153.6361111111</v>
      </c>
      <c r="I252" s="24" t="n">
        <v>198.5</v>
      </c>
      <c r="J252" s="24" t="n">
        <v>46.2</v>
      </c>
      <c r="K252" s="24" t="n">
        <v>-152.3</v>
      </c>
      <c r="L252" s="24" t="n">
        <v>-9899</v>
      </c>
      <c r="M252" s="24" t="n">
        <v>0.12</v>
      </c>
      <c r="N252" s="24" t="n">
        <v>65</v>
      </c>
      <c r="O252" s="5" t="str">
        <f aca="false">IF(ABS((J252-I252)-K252)&lt;=0.051,"OK","MISMATCH")</f>
        <v>OK</v>
      </c>
      <c r="P252" s="5" t="str">
        <f aca="false">IF(ABS(IF(C252="Buy",1,-1)*(J252-I252)*N252-L252)&lt;=1.01,"OK","MISMATCH")</f>
        <v>OK</v>
      </c>
    </row>
    <row r="253" customFormat="false" ht="15" hidden="false" customHeight="false" outlineLevel="0" collapsed="false">
      <c r="A253" s="5" t="n">
        <v>63</v>
      </c>
      <c r="B253" s="5" t="n">
        <v>520</v>
      </c>
      <c r="C253" s="5" t="s">
        <v>143</v>
      </c>
      <c r="D253" s="5" t="s">
        <v>142</v>
      </c>
      <c r="E253" s="5" t="n">
        <v>23100</v>
      </c>
      <c r="F253" s="27" t="n">
        <v>46168</v>
      </c>
      <c r="G253" s="28" t="n">
        <v>46125.4694444445</v>
      </c>
      <c r="H253" s="28" t="n">
        <v>46153.6361111111</v>
      </c>
      <c r="I253" s="24" t="n">
        <v>343.9</v>
      </c>
      <c r="J253" s="24" t="n">
        <v>103.8</v>
      </c>
      <c r="K253" s="24" t="n">
        <v>-240.1</v>
      </c>
      <c r="L253" s="24" t="n">
        <v>15606</v>
      </c>
      <c r="M253" s="24" t="n">
        <v>0.19</v>
      </c>
      <c r="N253" s="24" t="n">
        <v>65</v>
      </c>
      <c r="O253" s="5" t="str">
        <f aca="false">IF(ABS((J253-I253)-K253)&lt;=0.051,"OK","MISMATCH")</f>
        <v>OK</v>
      </c>
      <c r="P253" s="5" t="str">
        <f aca="false">IF(ABS(IF(C253="Buy",1,-1)*(J253-I253)*N253-L253)&lt;=1.01,"OK","MISMATCH")</f>
        <v>OK</v>
      </c>
    </row>
    <row r="254" customFormat="false" ht="15" hidden="false" customHeight="false" outlineLevel="0" collapsed="false">
      <c r="A254" s="5" t="n">
        <v>64</v>
      </c>
      <c r="B254" s="5" t="n">
        <v>525</v>
      </c>
      <c r="C254" s="5" t="s">
        <v>141</v>
      </c>
      <c r="D254" s="5" t="s">
        <v>142</v>
      </c>
      <c r="E254" s="5" t="n">
        <v>22600</v>
      </c>
      <c r="F254" s="27" t="n">
        <v>46203</v>
      </c>
      <c r="G254" s="28" t="n">
        <v>46160.4694444445</v>
      </c>
      <c r="H254" s="28" t="n">
        <v>46185.6361111111</v>
      </c>
      <c r="I254" s="24" t="n">
        <v>253.8</v>
      </c>
      <c r="J254" s="24" t="n">
        <v>37.9</v>
      </c>
      <c r="K254" s="24" t="n">
        <v>-215.9</v>
      </c>
      <c r="L254" s="24" t="n">
        <v>-14033</v>
      </c>
      <c r="M254" s="24" t="n">
        <v>-0.09</v>
      </c>
      <c r="N254" s="24" t="n">
        <v>65</v>
      </c>
      <c r="O254" s="5" t="str">
        <f aca="false">IF(ABS((J254-I254)-K254)&lt;=0.051,"OK","MISMATCH")</f>
        <v>OK</v>
      </c>
      <c r="P254" s="5" t="str">
        <f aca="false">IF(ABS(IF(C254="Buy",1,-1)*(J254-I254)*N254-L254)&lt;=1.01,"OK","MISMATCH")</f>
        <v>OK</v>
      </c>
    </row>
    <row r="255" customFormat="false" ht="15" hidden="false" customHeight="false" outlineLevel="0" collapsed="false">
      <c r="A255" s="5" t="n">
        <v>64</v>
      </c>
      <c r="B255" s="5" t="n">
        <v>526</v>
      </c>
      <c r="C255" s="5" t="s">
        <v>143</v>
      </c>
      <c r="D255" s="5" t="s">
        <v>144</v>
      </c>
      <c r="E255" s="5" t="n">
        <v>24300</v>
      </c>
      <c r="F255" s="27" t="n">
        <v>46203</v>
      </c>
      <c r="G255" s="28" t="n">
        <v>46160.4694444445</v>
      </c>
      <c r="H255" s="28" t="n">
        <v>46185.6361111111</v>
      </c>
      <c r="I255" s="24" t="n">
        <v>262.7</v>
      </c>
      <c r="J255" s="24" t="n">
        <v>75.9</v>
      </c>
      <c r="K255" s="24" t="n">
        <v>-186.8</v>
      </c>
      <c r="L255" s="24" t="n">
        <v>12142</v>
      </c>
      <c r="M255" s="24" t="n">
        <v>-0.2</v>
      </c>
      <c r="N255" s="24" t="n">
        <v>65</v>
      </c>
      <c r="O255" s="5" t="str">
        <f aca="false">IF(ABS((J255-I255)-K255)&lt;=0.051,"OK","MISMATCH")</f>
        <v>OK</v>
      </c>
      <c r="P255" s="5" t="str">
        <f aca="false">IF(ABS(IF(C255="Buy",1,-1)*(J255-I255)*N255-L255)&lt;=1.01,"OK","MISMATCH")</f>
        <v>OK</v>
      </c>
    </row>
    <row r="256" customFormat="false" ht="15" hidden="false" customHeight="false" outlineLevel="0" collapsed="false">
      <c r="A256" s="5" t="n">
        <v>64</v>
      </c>
      <c r="B256" s="5" t="n">
        <v>527</v>
      </c>
      <c r="C256" s="5" t="s">
        <v>141</v>
      </c>
      <c r="D256" s="5" t="s">
        <v>144</v>
      </c>
      <c r="E256" s="5" t="n">
        <v>24500</v>
      </c>
      <c r="F256" s="27" t="n">
        <v>46203</v>
      </c>
      <c r="G256" s="28" t="n">
        <v>46160.4694444445</v>
      </c>
      <c r="H256" s="28" t="n">
        <v>46185.6361111111</v>
      </c>
      <c r="I256" s="24" t="n">
        <v>200.8</v>
      </c>
      <c r="J256" s="24" t="n">
        <v>47.3</v>
      </c>
      <c r="K256" s="24" t="n">
        <v>-153.5</v>
      </c>
      <c r="L256" s="24" t="n">
        <v>-9977</v>
      </c>
      <c r="M256" s="24" t="n">
        <v>0.13</v>
      </c>
      <c r="N256" s="24" t="n">
        <v>65</v>
      </c>
      <c r="O256" s="5" t="str">
        <f aca="false">IF(ABS((J256-I256)-K256)&lt;=0.051,"OK","MISMATCH")</f>
        <v>OK</v>
      </c>
      <c r="P256" s="5" t="str">
        <f aca="false">IF(ABS(IF(C256="Buy",1,-1)*(J256-I256)*N256-L256)&lt;=1.01,"OK","MISMATCH")</f>
        <v>OK</v>
      </c>
    </row>
    <row r="257" customFormat="false" ht="15" hidden="false" customHeight="false" outlineLevel="0" collapsed="false">
      <c r="A257" s="5" t="n">
        <v>64</v>
      </c>
      <c r="B257" s="5" t="n">
        <v>528</v>
      </c>
      <c r="C257" s="5" t="s">
        <v>143</v>
      </c>
      <c r="D257" s="5" t="s">
        <v>142</v>
      </c>
      <c r="E257" s="5" t="n">
        <v>22800</v>
      </c>
      <c r="F257" s="27" t="n">
        <v>46203</v>
      </c>
      <c r="G257" s="28" t="n">
        <v>46160.4694444445</v>
      </c>
      <c r="H257" s="28" t="n">
        <v>46185.6361111111</v>
      </c>
      <c r="I257" s="24" t="n">
        <v>300</v>
      </c>
      <c r="J257" s="24" t="n">
        <v>54.4</v>
      </c>
      <c r="K257" s="24" t="n">
        <v>-245.6</v>
      </c>
      <c r="L257" s="24" t="n">
        <v>15964</v>
      </c>
      <c r="M257" s="24" t="n">
        <v>0.13</v>
      </c>
      <c r="N257" s="24" t="n">
        <v>65</v>
      </c>
      <c r="O257" s="5" t="str">
        <f aca="false">IF(ABS((J257-I257)-K257)&lt;=0.051,"OK","MISMATCH")</f>
        <v>OK</v>
      </c>
      <c r="P257" s="5" t="str">
        <f aca="false">IF(ABS(IF(C257="Buy",1,-1)*(J257-I257)*N257-L257)&lt;=1.01,"OK","MISMATCH")</f>
        <v>OK</v>
      </c>
    </row>
    <row r="258" customFormat="false" ht="15" hidden="false" customHeight="false" outlineLevel="0" collapsed="false">
      <c r="A258" s="5" t="n">
        <v>65</v>
      </c>
      <c r="B258" s="5" t="n">
        <v>533</v>
      </c>
      <c r="C258" s="5" t="s">
        <v>141</v>
      </c>
      <c r="D258" s="5" t="s">
        <v>142</v>
      </c>
      <c r="E258" s="5" t="n">
        <v>23300</v>
      </c>
      <c r="F258" s="27" t="n">
        <v>46231</v>
      </c>
      <c r="G258" s="28" t="n">
        <v>46188.4694444445</v>
      </c>
      <c r="H258" s="28" t="n">
        <v>46216.6361111111</v>
      </c>
      <c r="I258" s="24" t="n">
        <v>167.4</v>
      </c>
      <c r="J258" s="24" t="n">
        <v>40</v>
      </c>
      <c r="K258" s="24" t="n">
        <v>-127.4</v>
      </c>
      <c r="L258" s="24" t="n">
        <v>-8281</v>
      </c>
      <c r="M258" s="24" t="n">
        <v>-0.11</v>
      </c>
      <c r="N258" s="24" t="n">
        <v>65</v>
      </c>
      <c r="O258" s="5" t="str">
        <f aca="false">IF(ABS((J258-I258)-K258)&lt;=0.051,"OK","MISMATCH")</f>
        <v>OK</v>
      </c>
      <c r="P258" s="5" t="str">
        <f aca="false">IF(ABS(IF(C258="Buy",1,-1)*(J258-I258)*N258-L258)&lt;=1.01,"OK","MISMATCH")</f>
        <v>OK</v>
      </c>
    </row>
    <row r="259" customFormat="false" ht="15" hidden="false" customHeight="false" outlineLevel="0" collapsed="false">
      <c r="A259" s="5" t="n">
        <v>65</v>
      </c>
      <c r="B259" s="5" t="n">
        <v>534</v>
      </c>
      <c r="C259" s="5" t="s">
        <v>143</v>
      </c>
      <c r="D259" s="5" t="s">
        <v>144</v>
      </c>
      <c r="E259" s="5" t="n">
        <v>24600</v>
      </c>
      <c r="F259" s="27" t="n">
        <v>46231</v>
      </c>
      <c r="G259" s="28" t="n">
        <v>46188.4694444445</v>
      </c>
      <c r="H259" s="28" t="n">
        <v>46216.6361111111</v>
      </c>
      <c r="I259" s="24" t="n">
        <v>210</v>
      </c>
      <c r="J259" s="24" t="n">
        <v>96.2</v>
      </c>
      <c r="K259" s="24" t="n">
        <v>-113.8</v>
      </c>
      <c r="L259" s="24" t="n">
        <v>7397</v>
      </c>
      <c r="M259" s="24" t="n">
        <v>-0.27</v>
      </c>
      <c r="N259" s="24" t="n">
        <v>65</v>
      </c>
      <c r="O259" s="5" t="str">
        <f aca="false">IF(ABS((J259-I259)-K259)&lt;=0.051,"OK","MISMATCH")</f>
        <v>OK</v>
      </c>
      <c r="P259" s="5" t="str">
        <f aca="false">IF(ABS(IF(C259="Buy",1,-1)*(J259-I259)*N259-L259)&lt;=1.01,"OK","MISMATCH")</f>
        <v>OK</v>
      </c>
    </row>
    <row r="260" customFormat="false" ht="15" hidden="false" customHeight="false" outlineLevel="0" collapsed="false">
      <c r="A260" s="5" t="n">
        <v>65</v>
      </c>
      <c r="B260" s="5" t="n">
        <v>535</v>
      </c>
      <c r="C260" s="5" t="s">
        <v>141</v>
      </c>
      <c r="D260" s="5" t="s">
        <v>144</v>
      </c>
      <c r="E260" s="5" t="n">
        <v>24800</v>
      </c>
      <c r="F260" s="27" t="n">
        <v>46231</v>
      </c>
      <c r="G260" s="28" t="n">
        <v>46188.4694444445</v>
      </c>
      <c r="H260" s="28" t="n">
        <v>46216.6361111111</v>
      </c>
      <c r="I260" s="24" t="n">
        <v>152.3</v>
      </c>
      <c r="J260" s="24" t="n">
        <v>50.1</v>
      </c>
      <c r="K260" s="24" t="n">
        <v>-102.2</v>
      </c>
      <c r="L260" s="24" t="n">
        <v>-6643</v>
      </c>
      <c r="M260" s="24" t="n">
        <v>0.17</v>
      </c>
      <c r="N260" s="24" t="n">
        <v>65</v>
      </c>
      <c r="O260" s="5" t="str">
        <f aca="false">IF(ABS((J260-I260)-K260)&lt;=0.051,"OK","MISMATCH")</f>
        <v>OK</v>
      </c>
      <c r="P260" s="5" t="str">
        <f aca="false">IF(ABS(IF(C260="Buy",1,-1)*(J260-I260)*N260-L260)&lt;=1.01,"OK","MISMATCH")</f>
        <v>OK</v>
      </c>
    </row>
    <row r="261" customFormat="false" ht="15" hidden="false" customHeight="false" outlineLevel="0" collapsed="false">
      <c r="A261" s="5" t="n">
        <v>65</v>
      </c>
      <c r="B261" s="5" t="n">
        <v>536</v>
      </c>
      <c r="C261" s="5" t="s">
        <v>143</v>
      </c>
      <c r="D261" s="5" t="s">
        <v>142</v>
      </c>
      <c r="E261" s="5" t="n">
        <v>23500</v>
      </c>
      <c r="F261" s="27" t="n">
        <v>46231</v>
      </c>
      <c r="G261" s="28" t="n">
        <v>46188.4694444445</v>
      </c>
      <c r="H261" s="28" t="n">
        <v>46216.6361111111</v>
      </c>
      <c r="I261" s="24" t="n">
        <v>215.8</v>
      </c>
      <c r="J261" s="24" t="n">
        <v>58.8</v>
      </c>
      <c r="K261" s="24" t="n">
        <v>-157</v>
      </c>
      <c r="L261" s="24" t="n">
        <v>10205</v>
      </c>
      <c r="M261" s="24" t="n">
        <v>0.15</v>
      </c>
      <c r="N261" s="24" t="n">
        <v>65</v>
      </c>
      <c r="O261" s="5" t="str">
        <f aca="false">IF(ABS((J261-I261)-K261)&lt;=0.051,"OK","MISMATCH")</f>
        <v>OK</v>
      </c>
      <c r="P261" s="5" t="str">
        <f aca="false">IF(ABS(IF(C261="Buy",1,-1)*(J261-I261)*N261-L261)&lt;=1.01,"OK","MISMATCH")</f>
        <v>OK</v>
      </c>
    </row>
    <row r="262" customFormat="false" ht="15" hidden="false" customHeight="false" outlineLevel="0" collapsed="false">
      <c r="A262" s="5" t="n">
        <v>66</v>
      </c>
      <c r="B262" s="5" t="n">
        <v>541</v>
      </c>
      <c r="C262" s="5" t="s">
        <v>141</v>
      </c>
      <c r="D262" s="5" t="s">
        <v>142</v>
      </c>
      <c r="E262" s="5" t="n">
        <v>23500</v>
      </c>
      <c r="F262" s="27" t="n">
        <v>46259</v>
      </c>
      <c r="G262" s="28" t="n">
        <v>46216.4694444445</v>
      </c>
      <c r="H262" s="28" t="n">
        <v>46244.6361111111</v>
      </c>
      <c r="I262" s="24" t="n">
        <v>166</v>
      </c>
      <c r="J262" s="24" t="n">
        <v>15.1</v>
      </c>
      <c r="K262" s="24" t="n">
        <v>-150.9</v>
      </c>
      <c r="L262" s="24" t="n">
        <v>-9808</v>
      </c>
      <c r="M262" s="24" t="n">
        <v>-0.05</v>
      </c>
      <c r="N262" s="24" t="n">
        <v>65</v>
      </c>
      <c r="O262" s="5" t="str">
        <f aca="false">IF(ABS((J262-I262)-K262)&lt;=0.051,"OK","MISMATCH")</f>
        <v>OK</v>
      </c>
      <c r="P262" s="5" t="str">
        <f aca="false">IF(ABS(IF(C262="Buy",1,-1)*(J262-I262)*N262-L262)&lt;=1.01,"OK","MISMATCH")</f>
        <v>OK</v>
      </c>
    </row>
    <row r="263" customFormat="false" ht="15" hidden="false" customHeight="false" outlineLevel="0" collapsed="false">
      <c r="A263" s="5" t="n">
        <v>66</v>
      </c>
      <c r="B263" s="5" t="n">
        <v>542</v>
      </c>
      <c r="C263" s="5" t="s">
        <v>143</v>
      </c>
      <c r="D263" s="5" t="s">
        <v>144</v>
      </c>
      <c r="E263" s="5" t="n">
        <v>24800</v>
      </c>
      <c r="F263" s="27" t="n">
        <v>46259</v>
      </c>
      <c r="G263" s="28" t="n">
        <v>46216.4694444445</v>
      </c>
      <c r="H263" s="28" t="n">
        <v>46244.6361111111</v>
      </c>
      <c r="I263" s="24" t="n">
        <v>181.5</v>
      </c>
      <c r="J263" s="24" t="n">
        <v>154.1</v>
      </c>
      <c r="K263" s="24" t="n">
        <v>-27.4</v>
      </c>
      <c r="L263" s="24" t="n">
        <v>1781</v>
      </c>
      <c r="M263" s="24" t="n">
        <v>-0.4</v>
      </c>
      <c r="N263" s="24" t="n">
        <v>65</v>
      </c>
      <c r="O263" s="5" t="str">
        <f aca="false">IF(ABS((J263-I263)-K263)&lt;=0.051,"OK","MISMATCH")</f>
        <v>OK</v>
      </c>
      <c r="P263" s="5" t="str">
        <f aca="false">IF(ABS(IF(C263="Buy",1,-1)*(J263-I263)*N263-L263)&lt;=1.01,"OK","MISMATCH")</f>
        <v>OK</v>
      </c>
    </row>
    <row r="264" customFormat="false" ht="15" hidden="false" customHeight="false" outlineLevel="0" collapsed="false">
      <c r="A264" s="5" t="n">
        <v>66</v>
      </c>
      <c r="B264" s="5" t="n">
        <v>543</v>
      </c>
      <c r="C264" s="5" t="s">
        <v>141</v>
      </c>
      <c r="D264" s="5" t="s">
        <v>144</v>
      </c>
      <c r="E264" s="5" t="n">
        <v>25000</v>
      </c>
      <c r="F264" s="27" t="n">
        <v>46259</v>
      </c>
      <c r="G264" s="28" t="n">
        <v>46216.4694444445</v>
      </c>
      <c r="H264" s="28" t="n">
        <v>46244.6361111111</v>
      </c>
      <c r="I264" s="24" t="n">
        <v>123</v>
      </c>
      <c r="J264" s="24" t="n">
        <v>87</v>
      </c>
      <c r="K264" s="24" t="n">
        <v>-36</v>
      </c>
      <c r="L264" s="24" t="n">
        <v>-2340</v>
      </c>
      <c r="M264" s="24" t="n">
        <v>0.27</v>
      </c>
      <c r="N264" s="24" t="n">
        <v>65</v>
      </c>
      <c r="O264" s="5" t="str">
        <f aca="false">IF(ABS((J264-I264)-K264)&lt;=0.051,"OK","MISMATCH")</f>
        <v>OK</v>
      </c>
      <c r="P264" s="5" t="str">
        <f aca="false">IF(ABS(IF(C264="Buy",1,-1)*(J264-I264)*N264-L264)&lt;=1.01,"OK","MISMATCH")</f>
        <v>OK</v>
      </c>
    </row>
    <row r="265" customFormat="false" ht="15" hidden="false" customHeight="false" outlineLevel="0" collapsed="false">
      <c r="A265" s="5" t="n">
        <v>66</v>
      </c>
      <c r="B265" s="5" t="n">
        <v>544</v>
      </c>
      <c r="C265" s="5" t="s">
        <v>143</v>
      </c>
      <c r="D265" s="5" t="s">
        <v>142</v>
      </c>
      <c r="E265" s="5" t="n">
        <v>23700</v>
      </c>
      <c r="F265" s="27" t="n">
        <v>46259</v>
      </c>
      <c r="G265" s="28" t="n">
        <v>46216.4694444445</v>
      </c>
      <c r="H265" s="28" t="n">
        <v>46244.6361111111</v>
      </c>
      <c r="I265" s="24" t="n">
        <v>214.9</v>
      </c>
      <c r="J265" s="24" t="n">
        <v>22.7</v>
      </c>
      <c r="K265" s="24" t="n">
        <v>-192.2</v>
      </c>
      <c r="L265" s="24" t="n">
        <v>12493</v>
      </c>
      <c r="M265" s="24" t="n">
        <v>0.07</v>
      </c>
      <c r="N265" s="24" t="n">
        <v>65</v>
      </c>
      <c r="O265" s="5" t="str">
        <f aca="false">IF(ABS((J265-I265)-K265)&lt;=0.051,"OK","MISMATCH")</f>
        <v>OK</v>
      </c>
      <c r="P265" s="5" t="str">
        <f aca="false">IF(ABS(IF(C265="Buy",1,-1)*(J265-I265)*N265-L265)&lt;=1.01,"OK","MISMATCH")</f>
        <v>OK</v>
      </c>
    </row>
    <row r="266" customFormat="false" ht="15" hidden="false" customHeight="false" outlineLevel="0" collapsed="false">
      <c r="A266" s="5" t="n">
        <v>67</v>
      </c>
      <c r="B266" s="5" t="n">
        <v>549</v>
      </c>
      <c r="C266" s="5" t="s">
        <v>143</v>
      </c>
      <c r="D266" s="5" t="s">
        <v>142</v>
      </c>
      <c r="E266" s="5" t="n">
        <v>24000</v>
      </c>
      <c r="F266" s="27" t="n">
        <v>46294</v>
      </c>
      <c r="G266" s="28" t="n">
        <v>46251.4694444445</v>
      </c>
      <c r="H266" s="28"/>
      <c r="I266" s="24" t="n">
        <v>188.1</v>
      </c>
      <c r="J266" s="24" t="n">
        <v>565.2</v>
      </c>
      <c r="K266" s="24" t="n">
        <v>377.1</v>
      </c>
      <c r="L266" s="24" t="n">
        <v>-24511</v>
      </c>
      <c r="M266" s="24" t="n">
        <v>0.81</v>
      </c>
      <c r="N266" s="24" t="n">
        <v>65</v>
      </c>
      <c r="O266" s="5" t="str">
        <f aca="false">IF(ABS((J266-I266)-K266)&lt;=0.051,"OK","MISMATCH")</f>
        <v>OK</v>
      </c>
      <c r="P266" s="5" t="str">
        <f aca="false">IF(ABS(IF(C266="Buy",1,-1)*(J266-I266)*N266-L266)&lt;=1.01,"OK","MISMATCH")</f>
        <v>OK</v>
      </c>
    </row>
    <row r="267" customFormat="false" ht="15" hidden="false" customHeight="false" outlineLevel="0" collapsed="false">
      <c r="A267" s="5" t="n">
        <v>67</v>
      </c>
      <c r="B267" s="5" t="n">
        <v>550</v>
      </c>
      <c r="C267" s="5" t="s">
        <v>141</v>
      </c>
      <c r="D267" s="5" t="s">
        <v>142</v>
      </c>
      <c r="E267" s="5" t="n">
        <v>23800</v>
      </c>
      <c r="F267" s="27" t="n">
        <v>46294</v>
      </c>
      <c r="G267" s="28" t="n">
        <v>46251.4694444445</v>
      </c>
      <c r="H267" s="28"/>
      <c r="I267" s="24" t="n">
        <v>138.9</v>
      </c>
      <c r="J267" s="24" t="n">
        <v>410.1</v>
      </c>
      <c r="K267" s="24" t="n">
        <v>271.2</v>
      </c>
      <c r="L267" s="24" t="n">
        <v>17628</v>
      </c>
      <c r="M267" s="24" t="n">
        <v>-0.71</v>
      </c>
      <c r="N267" s="24" t="n">
        <v>65</v>
      </c>
      <c r="O267" s="5" t="str">
        <f aca="false">IF(ABS((J267-I267)-K267)&lt;=0.051,"OK","MISMATCH")</f>
        <v>OK</v>
      </c>
      <c r="P267" s="5" t="str">
        <f aca="false">IF(ABS(IF(C267="Buy",1,-1)*(J267-I267)*N267-L267)&lt;=1.01,"OK","MISMATCH")</f>
        <v>OK</v>
      </c>
    </row>
    <row r="268" customFormat="false" ht="15" hidden="false" customHeight="false" outlineLevel="0" collapsed="false">
      <c r="A268" s="5" t="n">
        <v>67</v>
      </c>
      <c r="B268" s="5" t="n">
        <v>551</v>
      </c>
      <c r="C268" s="5" t="s">
        <v>143</v>
      </c>
      <c r="D268" s="5" t="s">
        <v>144</v>
      </c>
      <c r="E268" s="5" t="n">
        <v>24900</v>
      </c>
      <c r="F268" s="27" t="n">
        <v>46294</v>
      </c>
      <c r="G268" s="28" t="n">
        <v>46251.4694444445</v>
      </c>
      <c r="H268" s="28"/>
      <c r="I268" s="24" t="n">
        <v>156.8</v>
      </c>
      <c r="J268" s="24" t="n">
        <v>8.6</v>
      </c>
      <c r="K268" s="24" t="n">
        <v>-148.2</v>
      </c>
      <c r="L268" s="24" t="n">
        <v>9633</v>
      </c>
      <c r="M268" s="24" t="n">
        <v>-0.03</v>
      </c>
      <c r="N268" s="24" t="n">
        <v>65</v>
      </c>
      <c r="O268" s="5" t="str">
        <f aca="false">IF(ABS((J268-I268)-K268)&lt;=0.051,"OK","MISMATCH")</f>
        <v>OK</v>
      </c>
      <c r="P268" s="5" t="str">
        <f aca="false">IF(ABS(IF(C268="Buy",1,-1)*(J268-I268)*N268-L268)&lt;=1.01,"OK","MISMATCH")</f>
        <v>OK</v>
      </c>
    </row>
    <row r="269" customFormat="false" ht="15" hidden="false" customHeight="false" outlineLevel="0" collapsed="false">
      <c r="A269" s="5" t="n">
        <v>67</v>
      </c>
      <c r="B269" s="5" t="n">
        <v>552</v>
      </c>
      <c r="C269" s="5" t="s">
        <v>141</v>
      </c>
      <c r="D269" s="5" t="s">
        <v>144</v>
      </c>
      <c r="E269" s="5" t="n">
        <v>25100</v>
      </c>
      <c r="F269" s="27" t="n">
        <v>46294</v>
      </c>
      <c r="G269" s="28" t="n">
        <v>46251.4694444445</v>
      </c>
      <c r="H269" s="28"/>
      <c r="I269" s="24" t="n">
        <v>103.3</v>
      </c>
      <c r="J269" s="24" t="n">
        <v>7</v>
      </c>
      <c r="K269" s="24" t="n">
        <v>-96.3</v>
      </c>
      <c r="L269" s="24" t="n">
        <v>-6259</v>
      </c>
      <c r="M269" s="24" t="n">
        <v>0.02</v>
      </c>
      <c r="N269" s="24" t="n">
        <v>65</v>
      </c>
      <c r="O269" s="5" t="str">
        <f aca="false">IF(ABS((J269-I269)-K269)&lt;=0.051,"OK","MISMATCH")</f>
        <v>OK</v>
      </c>
      <c r="P269" s="5" t="str">
        <f aca="false">IF(ABS(IF(C269="Buy",1,-1)*(J269-I269)*N269-L269)&lt;=1.01,"OK","MISMATCH")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3"/>
  </cols>
  <sheetData>
    <row r="1" customFormat="false" ht="15" hidden="false" customHeight="false" outlineLevel="0" collapsed="false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</row>
    <row r="2" customFormat="false" ht="15" hidden="false" customHeight="false" outlineLevel="0" collapsed="false">
      <c r="A2" s="5" t="n">
        <v>1</v>
      </c>
      <c r="B2" s="29" t="n">
        <v>44207</v>
      </c>
      <c r="C2" s="5" t="s">
        <v>159</v>
      </c>
      <c r="D2" s="29" t="n">
        <v>44252</v>
      </c>
      <c r="E2" s="5" t="n">
        <v>15100</v>
      </c>
      <c r="F2" s="5" t="n">
        <v>15300</v>
      </c>
      <c r="G2" s="5" t="n">
        <v>13800</v>
      </c>
      <c r="H2" s="5" t="n">
        <v>13600</v>
      </c>
      <c r="I2" s="5" t="n">
        <v>50</v>
      </c>
      <c r="J2" s="29" t="n">
        <v>44237</v>
      </c>
      <c r="K2" s="5" t="s">
        <v>126</v>
      </c>
      <c r="L2" s="5" t="n">
        <v>-6.4</v>
      </c>
      <c r="M2" s="5" t="n">
        <v>-320</v>
      </c>
      <c r="N2" s="5"/>
    </row>
    <row r="3" customFormat="false" ht="15" hidden="false" customHeight="false" outlineLevel="0" collapsed="false">
      <c r="A3" s="5" t="n">
        <v>2</v>
      </c>
      <c r="B3" s="29" t="n">
        <v>44235</v>
      </c>
      <c r="C3" s="5" t="s">
        <v>159</v>
      </c>
      <c r="D3" s="29" t="n">
        <v>44280</v>
      </c>
      <c r="E3" s="5" t="n">
        <v>15700</v>
      </c>
      <c r="F3" s="5" t="n">
        <v>15900</v>
      </c>
      <c r="G3" s="5" t="n">
        <v>14500</v>
      </c>
      <c r="H3" s="5" t="n">
        <v>14300</v>
      </c>
      <c r="I3" s="5" t="n">
        <v>50</v>
      </c>
      <c r="J3" s="29" t="n">
        <v>44265</v>
      </c>
      <c r="K3" s="5" t="s">
        <v>126</v>
      </c>
      <c r="L3" s="5" t="n">
        <v>49</v>
      </c>
      <c r="M3" s="5" t="n">
        <v>2450</v>
      </c>
      <c r="N3" s="5"/>
    </row>
    <row r="4" customFormat="false" ht="15" hidden="false" customHeight="false" outlineLevel="0" collapsed="false">
      <c r="A4" s="5" t="n">
        <v>3</v>
      </c>
      <c r="B4" s="29" t="n">
        <v>44270</v>
      </c>
      <c r="C4" s="5" t="s">
        <v>159</v>
      </c>
      <c r="D4" s="29" t="n">
        <v>44315</v>
      </c>
      <c r="E4" s="5" t="n">
        <v>15500</v>
      </c>
      <c r="F4" s="5" t="n">
        <v>15700</v>
      </c>
      <c r="G4" s="5" t="n">
        <v>14300</v>
      </c>
      <c r="H4" s="5" t="n">
        <v>14100</v>
      </c>
      <c r="I4" s="5" t="n">
        <v>50</v>
      </c>
      <c r="J4" s="29" t="n">
        <v>44295</v>
      </c>
      <c r="K4" s="5" t="s">
        <v>160</v>
      </c>
      <c r="L4" s="5" t="n">
        <v>51.8</v>
      </c>
      <c r="M4" s="5" t="n">
        <v>2589</v>
      </c>
      <c r="N4" s="5"/>
    </row>
    <row r="5" customFormat="false" ht="15" hidden="false" customHeight="false" outlineLevel="0" collapsed="false">
      <c r="A5" s="5" t="n">
        <v>4</v>
      </c>
      <c r="B5" s="29" t="n">
        <v>44298</v>
      </c>
      <c r="C5" s="5" t="s">
        <v>159</v>
      </c>
      <c r="D5" s="29" t="n">
        <v>44343</v>
      </c>
      <c r="E5" s="5" t="n">
        <v>15100</v>
      </c>
      <c r="F5" s="5" t="n">
        <v>15300</v>
      </c>
      <c r="G5" s="5" t="n">
        <v>14000</v>
      </c>
      <c r="H5" s="5" t="n">
        <v>13800</v>
      </c>
      <c r="I5" s="5" t="n">
        <v>50</v>
      </c>
      <c r="J5" s="29" t="n">
        <v>44328</v>
      </c>
      <c r="K5" s="5" t="s">
        <v>126</v>
      </c>
      <c r="L5" s="5" t="n">
        <v>55.5</v>
      </c>
      <c r="M5" s="5" t="n">
        <v>2776</v>
      </c>
      <c r="N5" s="5"/>
    </row>
    <row r="6" customFormat="false" ht="15" hidden="false" customHeight="false" outlineLevel="0" collapsed="false">
      <c r="A6" s="5" t="n">
        <v>5</v>
      </c>
      <c r="B6" s="29" t="n">
        <v>44326</v>
      </c>
      <c r="C6" s="5" t="s">
        <v>159</v>
      </c>
      <c r="D6" s="29" t="n">
        <v>44371</v>
      </c>
      <c r="E6" s="5" t="n">
        <v>15500</v>
      </c>
      <c r="F6" s="5" t="n">
        <v>15700</v>
      </c>
      <c r="G6" s="5" t="n">
        <v>14500</v>
      </c>
      <c r="H6" s="5" t="n">
        <v>14300</v>
      </c>
      <c r="I6" s="5" t="n">
        <v>50</v>
      </c>
      <c r="J6" s="29" t="n">
        <v>44356</v>
      </c>
      <c r="K6" s="5" t="s">
        <v>126</v>
      </c>
      <c r="L6" s="5" t="n">
        <v>-13.2</v>
      </c>
      <c r="M6" s="5" t="n">
        <v>-660</v>
      </c>
      <c r="N6" s="5"/>
    </row>
    <row r="7" customFormat="false" ht="15" hidden="false" customHeight="false" outlineLevel="0" collapsed="false">
      <c r="A7" s="5" t="n">
        <v>6</v>
      </c>
      <c r="B7" s="29" t="n">
        <v>44361</v>
      </c>
      <c r="C7" s="5" t="s">
        <v>159</v>
      </c>
      <c r="D7" s="29" t="n">
        <v>44406</v>
      </c>
      <c r="E7" s="5" t="n">
        <v>16100</v>
      </c>
      <c r="F7" s="5" t="n">
        <v>16300</v>
      </c>
      <c r="G7" s="5" t="n">
        <v>15400</v>
      </c>
      <c r="H7" s="5" t="n">
        <v>15200</v>
      </c>
      <c r="I7" s="5" t="n">
        <v>50</v>
      </c>
      <c r="J7" s="29" t="n">
        <v>44386</v>
      </c>
      <c r="K7" s="5" t="s">
        <v>160</v>
      </c>
      <c r="L7" s="5" t="n">
        <v>56.3</v>
      </c>
      <c r="M7" s="5" t="n">
        <v>2815</v>
      </c>
      <c r="N7" s="5"/>
    </row>
    <row r="8" customFormat="false" ht="15" hidden="false" customHeight="false" outlineLevel="0" collapsed="false">
      <c r="A8" s="5" t="n">
        <v>7</v>
      </c>
      <c r="B8" s="29" t="n">
        <v>44389</v>
      </c>
      <c r="C8" s="5" t="s">
        <v>159</v>
      </c>
      <c r="D8" s="29" t="n">
        <v>44434</v>
      </c>
      <c r="E8" s="5" t="n">
        <v>16100</v>
      </c>
      <c r="F8" s="5" t="n">
        <v>16300</v>
      </c>
      <c r="G8" s="5" t="n">
        <v>15500</v>
      </c>
      <c r="H8" s="5" t="n">
        <v>15300</v>
      </c>
      <c r="I8" s="5" t="n">
        <v>50</v>
      </c>
      <c r="J8" s="29" t="n">
        <v>44419</v>
      </c>
      <c r="K8" s="5" t="s">
        <v>126</v>
      </c>
      <c r="L8" s="5" t="n">
        <v>-16.6</v>
      </c>
      <c r="M8" s="5" t="n">
        <v>-830</v>
      </c>
      <c r="N8" s="5"/>
    </row>
    <row r="9" customFormat="false" ht="15" hidden="false" customHeight="false" outlineLevel="0" collapsed="false">
      <c r="A9" s="5" t="n">
        <v>8</v>
      </c>
      <c r="B9" s="29" t="n">
        <v>44424</v>
      </c>
      <c r="C9" s="5" t="s">
        <v>159</v>
      </c>
      <c r="D9" s="29" t="n">
        <v>44469</v>
      </c>
      <c r="E9" s="5" t="n">
        <v>16900</v>
      </c>
      <c r="F9" s="5" t="n">
        <v>17100</v>
      </c>
      <c r="G9" s="5" t="n">
        <v>16200</v>
      </c>
      <c r="H9" s="5" t="n">
        <v>16000</v>
      </c>
      <c r="I9" s="5" t="n">
        <v>50</v>
      </c>
      <c r="J9" s="29" t="n">
        <v>44454</v>
      </c>
      <c r="K9" s="5" t="s">
        <v>161</v>
      </c>
      <c r="L9" s="5" t="n">
        <v>-93.8</v>
      </c>
      <c r="M9" s="5" t="n">
        <v>-4689</v>
      </c>
      <c r="N9" s="5"/>
    </row>
    <row r="10" customFormat="false" ht="15" hidden="false" customHeight="false" outlineLevel="0" collapsed="false">
      <c r="A10" s="5" t="n">
        <v>9</v>
      </c>
      <c r="B10" s="29" t="n">
        <v>44452</v>
      </c>
      <c r="C10" s="5" t="s">
        <v>159</v>
      </c>
      <c r="D10" s="29" t="n">
        <v>44497</v>
      </c>
      <c r="E10" s="5" t="n">
        <v>17750</v>
      </c>
      <c r="F10" s="5" t="n">
        <v>17950</v>
      </c>
      <c r="G10" s="5" t="n">
        <v>16950</v>
      </c>
      <c r="H10" s="5" t="n">
        <v>16750</v>
      </c>
      <c r="I10" s="5" t="n">
        <v>50</v>
      </c>
      <c r="J10" s="29" t="n">
        <v>44482</v>
      </c>
      <c r="K10" s="5" t="s">
        <v>126</v>
      </c>
      <c r="L10" s="5" t="n">
        <v>-68.4</v>
      </c>
      <c r="M10" s="5" t="n">
        <v>-3421</v>
      </c>
      <c r="N10" s="5"/>
    </row>
    <row r="11" customFormat="false" ht="15" hidden="false" customHeight="false" outlineLevel="0" collapsed="false">
      <c r="A11" s="5" t="n">
        <v>10</v>
      </c>
      <c r="B11" s="29" t="n">
        <v>44480</v>
      </c>
      <c r="C11" s="5" t="s">
        <v>159</v>
      </c>
      <c r="D11" s="29" t="n">
        <v>44525</v>
      </c>
      <c r="E11" s="5" t="n">
        <v>18500</v>
      </c>
      <c r="F11" s="5" t="n">
        <v>18700</v>
      </c>
      <c r="G11" s="5" t="n">
        <v>17550</v>
      </c>
      <c r="H11" s="5" t="n">
        <v>17350</v>
      </c>
      <c r="I11" s="5" t="n">
        <v>50</v>
      </c>
      <c r="J11" s="29" t="n">
        <v>44509</v>
      </c>
      <c r="K11" s="5" t="s">
        <v>160</v>
      </c>
      <c r="L11" s="5" t="n">
        <v>60.2</v>
      </c>
      <c r="M11" s="5" t="n">
        <v>3010</v>
      </c>
      <c r="N11" s="5"/>
    </row>
    <row r="12" customFormat="false" ht="15" hidden="false" customHeight="false" outlineLevel="0" collapsed="false">
      <c r="A12" s="5" t="n">
        <v>11</v>
      </c>
      <c r="B12" s="29" t="n">
        <v>44515</v>
      </c>
      <c r="C12" s="5" t="s">
        <v>159</v>
      </c>
      <c r="D12" s="29" t="n">
        <v>44560</v>
      </c>
      <c r="E12" s="5" t="n">
        <v>18700</v>
      </c>
      <c r="F12" s="5" t="n">
        <v>18900</v>
      </c>
      <c r="G12" s="5" t="n">
        <v>17750</v>
      </c>
      <c r="H12" s="5" t="n">
        <v>17550</v>
      </c>
      <c r="I12" s="5" t="n">
        <v>50</v>
      </c>
      <c r="J12" s="29" t="n">
        <v>44545</v>
      </c>
      <c r="K12" s="5" t="s">
        <v>126</v>
      </c>
      <c r="L12" s="5" t="n">
        <v>-48.9</v>
      </c>
      <c r="M12" s="5" t="n">
        <v>-2445</v>
      </c>
      <c r="N12" s="5"/>
    </row>
    <row r="13" customFormat="false" ht="15" hidden="false" customHeight="false" outlineLevel="0" collapsed="false">
      <c r="A13" s="5" t="n">
        <v>12</v>
      </c>
      <c r="B13" s="29" t="n">
        <v>44543</v>
      </c>
      <c r="C13" s="5" t="s">
        <v>159</v>
      </c>
      <c r="D13" s="29" t="n">
        <v>44588</v>
      </c>
      <c r="E13" s="5" t="n">
        <v>18100</v>
      </c>
      <c r="F13" s="5" t="n">
        <v>18300</v>
      </c>
      <c r="G13" s="5" t="n">
        <v>17200</v>
      </c>
      <c r="H13" s="5" t="n">
        <v>17000</v>
      </c>
      <c r="I13" s="5" t="n">
        <v>50</v>
      </c>
      <c r="J13" s="29" t="n">
        <v>44573</v>
      </c>
      <c r="K13" s="5" t="s">
        <v>126</v>
      </c>
      <c r="L13" s="5" t="n">
        <v>-19.2</v>
      </c>
      <c r="M13" s="5" t="n">
        <v>-960</v>
      </c>
      <c r="N13" s="5"/>
    </row>
    <row r="14" customFormat="false" ht="15" hidden="false" customHeight="false" outlineLevel="0" collapsed="false">
      <c r="A14" s="5" t="n">
        <v>13</v>
      </c>
      <c r="B14" s="29" t="n">
        <v>44571</v>
      </c>
      <c r="C14" s="5" t="s">
        <v>159</v>
      </c>
      <c r="D14" s="29" t="n">
        <v>44616</v>
      </c>
      <c r="E14" s="5" t="n">
        <v>18650</v>
      </c>
      <c r="F14" s="5" t="n">
        <v>18850</v>
      </c>
      <c r="G14" s="5" t="n">
        <v>17450</v>
      </c>
      <c r="H14" s="5" t="n">
        <v>17250</v>
      </c>
      <c r="I14" s="5" t="n">
        <v>50</v>
      </c>
      <c r="J14" s="29" t="n">
        <v>44601</v>
      </c>
      <c r="K14" s="5" t="s">
        <v>126</v>
      </c>
      <c r="L14" s="5" t="n">
        <v>20.7</v>
      </c>
      <c r="M14" s="5" t="n">
        <v>1035</v>
      </c>
      <c r="N14" s="5"/>
    </row>
    <row r="15" customFormat="false" ht="15" hidden="false" customHeight="false" outlineLevel="0" collapsed="false">
      <c r="A15" s="5" t="n">
        <v>14</v>
      </c>
      <c r="B15" s="29" t="n">
        <v>44606</v>
      </c>
      <c r="C15" s="5" t="s">
        <v>159</v>
      </c>
      <c r="D15" s="29" t="n">
        <v>44651</v>
      </c>
      <c r="E15" s="5" t="n">
        <v>17700</v>
      </c>
      <c r="F15" s="5" t="n">
        <v>17900</v>
      </c>
      <c r="G15" s="5" t="n">
        <v>16500</v>
      </c>
      <c r="H15" s="5" t="n">
        <v>16300</v>
      </c>
      <c r="I15" s="5" t="n">
        <v>50</v>
      </c>
      <c r="J15" s="29" t="n">
        <v>44636</v>
      </c>
      <c r="K15" s="5" t="s">
        <v>126</v>
      </c>
      <c r="L15" s="5" t="n">
        <v>33.3</v>
      </c>
      <c r="M15" s="5" t="n">
        <v>1664</v>
      </c>
      <c r="N15" s="5"/>
    </row>
    <row r="16" customFormat="false" ht="15" hidden="false" customHeight="false" outlineLevel="0" collapsed="false">
      <c r="A16" s="5" t="n">
        <v>15</v>
      </c>
      <c r="B16" s="29" t="n">
        <v>44634</v>
      </c>
      <c r="C16" s="5" t="s">
        <v>159</v>
      </c>
      <c r="D16" s="29" t="n">
        <v>44679</v>
      </c>
      <c r="E16" s="5" t="n">
        <v>17500</v>
      </c>
      <c r="F16" s="5" t="n">
        <v>17700</v>
      </c>
      <c r="G16" s="5" t="n">
        <v>16000</v>
      </c>
      <c r="H16" s="5" t="n">
        <v>15800</v>
      </c>
      <c r="I16" s="5" t="n">
        <v>50</v>
      </c>
      <c r="J16" s="29" t="n">
        <v>44664</v>
      </c>
      <c r="K16" s="5" t="s">
        <v>126</v>
      </c>
      <c r="L16" s="5" t="n">
        <v>2.5</v>
      </c>
      <c r="M16" s="5" t="n">
        <v>125</v>
      </c>
      <c r="N16" s="5"/>
    </row>
    <row r="17" customFormat="false" ht="15" hidden="false" customHeight="false" outlineLevel="0" collapsed="false">
      <c r="A17" s="5" t="n">
        <v>16</v>
      </c>
      <c r="B17" s="29" t="n">
        <v>44662</v>
      </c>
      <c r="C17" s="5" t="s">
        <v>159</v>
      </c>
      <c r="D17" s="29" t="n">
        <v>44707</v>
      </c>
      <c r="E17" s="5" t="n">
        <v>18300</v>
      </c>
      <c r="F17" s="5" t="n">
        <v>18500</v>
      </c>
      <c r="G17" s="5" t="n">
        <v>17200</v>
      </c>
      <c r="H17" s="5" t="n">
        <v>17000</v>
      </c>
      <c r="I17" s="5" t="n">
        <v>50</v>
      </c>
      <c r="J17" s="29" t="n">
        <v>44692</v>
      </c>
      <c r="K17" s="5" t="s">
        <v>126</v>
      </c>
      <c r="L17" s="5" t="n">
        <v>-83.7</v>
      </c>
      <c r="M17" s="5" t="n">
        <v>-4185</v>
      </c>
      <c r="N17" s="5"/>
    </row>
    <row r="18" customFormat="false" ht="15" hidden="false" customHeight="false" outlineLevel="0" collapsed="false">
      <c r="A18" s="5" t="n">
        <v>17</v>
      </c>
      <c r="B18" s="29" t="n">
        <v>44697</v>
      </c>
      <c r="C18" s="5" t="s">
        <v>159</v>
      </c>
      <c r="D18" s="29" t="n">
        <v>44742</v>
      </c>
      <c r="E18" s="5" t="n">
        <v>16500</v>
      </c>
      <c r="F18" s="5" t="n">
        <v>16700</v>
      </c>
      <c r="G18" s="5" t="n">
        <v>15300</v>
      </c>
      <c r="H18" s="5" t="n">
        <v>15100</v>
      </c>
      <c r="I18" s="5" t="n">
        <v>50</v>
      </c>
      <c r="J18" s="29" t="n">
        <v>44727</v>
      </c>
      <c r="K18" s="5" t="s">
        <v>126</v>
      </c>
      <c r="L18" s="5" t="n">
        <v>48.2</v>
      </c>
      <c r="M18" s="5" t="n">
        <v>2410</v>
      </c>
      <c r="N18" s="5"/>
    </row>
    <row r="19" customFormat="false" ht="15" hidden="false" customHeight="false" outlineLevel="0" collapsed="false">
      <c r="A19" s="5" t="n">
        <v>18</v>
      </c>
      <c r="B19" s="29" t="n">
        <v>44725</v>
      </c>
      <c r="C19" s="5" t="s">
        <v>159</v>
      </c>
      <c r="D19" s="29" t="n">
        <v>44770</v>
      </c>
      <c r="E19" s="5" t="n">
        <v>16450</v>
      </c>
      <c r="F19" s="5" t="n">
        <v>16650</v>
      </c>
      <c r="G19" s="5" t="n">
        <v>15250</v>
      </c>
      <c r="H19" s="5" t="n">
        <v>15050</v>
      </c>
      <c r="I19" s="5" t="n">
        <v>50</v>
      </c>
      <c r="J19" s="29" t="n">
        <v>44755</v>
      </c>
      <c r="K19" s="5" t="s">
        <v>160</v>
      </c>
      <c r="L19" s="5" t="n">
        <v>56.2</v>
      </c>
      <c r="M19" s="5" t="n">
        <v>2810</v>
      </c>
      <c r="N19" s="5"/>
    </row>
    <row r="20" customFormat="false" ht="15" hidden="false" customHeight="false" outlineLevel="0" collapsed="false">
      <c r="A20" s="5" t="n">
        <v>19</v>
      </c>
      <c r="B20" s="29" t="n">
        <v>44753</v>
      </c>
      <c r="C20" s="5" t="s">
        <v>159</v>
      </c>
      <c r="D20" s="29" t="n">
        <v>44798</v>
      </c>
      <c r="E20" s="5" t="n">
        <v>16700</v>
      </c>
      <c r="F20" s="5" t="n">
        <v>16900</v>
      </c>
      <c r="G20" s="5" t="n">
        <v>15600</v>
      </c>
      <c r="H20" s="5" t="n">
        <v>15400</v>
      </c>
      <c r="I20" s="5" t="n">
        <v>50</v>
      </c>
      <c r="J20" s="29" t="n">
        <v>44783</v>
      </c>
      <c r="K20" s="5" t="s">
        <v>126</v>
      </c>
      <c r="L20" s="5" t="n">
        <v>-83.7</v>
      </c>
      <c r="M20" s="5" t="n">
        <v>-4185</v>
      </c>
      <c r="N20" s="5"/>
    </row>
    <row r="21" customFormat="false" ht="15" hidden="false" customHeight="false" outlineLevel="0" collapsed="false">
      <c r="A21" s="5" t="n">
        <v>20</v>
      </c>
      <c r="B21" s="29" t="n">
        <v>44789</v>
      </c>
      <c r="C21" s="5" t="s">
        <v>159</v>
      </c>
      <c r="D21" s="29" t="n">
        <v>44833</v>
      </c>
      <c r="E21" s="5" t="n">
        <v>18400</v>
      </c>
      <c r="F21" s="5" t="n">
        <v>18600</v>
      </c>
      <c r="G21" s="5" t="n">
        <v>17400</v>
      </c>
      <c r="H21" s="5" t="n">
        <v>17200</v>
      </c>
      <c r="I21" s="5" t="n">
        <v>50</v>
      </c>
      <c r="J21" s="29" t="n">
        <v>44818</v>
      </c>
      <c r="K21" s="5" t="s">
        <v>126</v>
      </c>
      <c r="L21" s="5" t="n">
        <v>33</v>
      </c>
      <c r="M21" s="5" t="n">
        <v>1650</v>
      </c>
      <c r="N21" s="5"/>
    </row>
    <row r="22" customFormat="false" ht="15" hidden="false" customHeight="false" outlineLevel="0" collapsed="false">
      <c r="A22" s="5" t="n">
        <v>21</v>
      </c>
      <c r="B22" s="29" t="n">
        <v>44816</v>
      </c>
      <c r="C22" s="5" t="s">
        <v>159</v>
      </c>
      <c r="D22" s="29" t="n">
        <v>44861</v>
      </c>
      <c r="E22" s="5" t="n">
        <v>18500</v>
      </c>
      <c r="F22" s="5" t="n">
        <v>18700</v>
      </c>
      <c r="G22" s="5" t="n">
        <v>17500</v>
      </c>
      <c r="H22" s="5" t="n">
        <v>17300</v>
      </c>
      <c r="I22" s="5" t="n">
        <v>50</v>
      </c>
      <c r="J22" s="29" t="n">
        <v>44846</v>
      </c>
      <c r="K22" s="5" t="s">
        <v>126</v>
      </c>
      <c r="L22" s="5" t="n">
        <v>-17.4</v>
      </c>
      <c r="M22" s="5" t="n">
        <v>-869</v>
      </c>
      <c r="N22" s="5"/>
    </row>
    <row r="23" customFormat="false" ht="15" hidden="false" customHeight="false" outlineLevel="0" collapsed="false">
      <c r="A23" s="5" t="n">
        <v>22</v>
      </c>
      <c r="B23" s="29" t="n">
        <v>44844</v>
      </c>
      <c r="C23" s="5" t="s">
        <v>159</v>
      </c>
      <c r="D23" s="29" t="n">
        <v>44889</v>
      </c>
      <c r="E23" s="5" t="n">
        <v>17800</v>
      </c>
      <c r="F23" s="5" t="n">
        <v>18000</v>
      </c>
      <c r="G23" s="5" t="n">
        <v>16500</v>
      </c>
      <c r="H23" s="5" t="n">
        <v>16300</v>
      </c>
      <c r="I23" s="5" t="n">
        <v>50</v>
      </c>
      <c r="J23" s="29" t="n">
        <v>44874</v>
      </c>
      <c r="K23" s="5" t="s">
        <v>126</v>
      </c>
      <c r="L23" s="5" t="n">
        <v>-44.8</v>
      </c>
      <c r="M23" s="5" t="n">
        <v>-2240</v>
      </c>
      <c r="N23" s="5"/>
    </row>
    <row r="24" customFormat="false" ht="15" hidden="false" customHeight="false" outlineLevel="0" collapsed="false">
      <c r="A24" s="5" t="n">
        <v>23</v>
      </c>
      <c r="B24" s="29" t="n">
        <v>44879</v>
      </c>
      <c r="C24" s="5" t="s">
        <v>159</v>
      </c>
      <c r="D24" s="29" t="n">
        <v>44924</v>
      </c>
      <c r="E24" s="5" t="n">
        <v>18900</v>
      </c>
      <c r="F24" s="5" t="n">
        <v>19100</v>
      </c>
      <c r="G24" s="5" t="n">
        <v>18000</v>
      </c>
      <c r="H24" s="5" t="n">
        <v>17800</v>
      </c>
      <c r="I24" s="5" t="n">
        <v>50</v>
      </c>
      <c r="J24" s="29" t="n">
        <v>44907</v>
      </c>
      <c r="K24" s="5" t="s">
        <v>123</v>
      </c>
      <c r="L24" s="5" t="n">
        <v>50.7</v>
      </c>
      <c r="M24" s="5" t="n">
        <v>2535</v>
      </c>
      <c r="N24" s="5" t="s">
        <v>162</v>
      </c>
    </row>
    <row r="25" customFormat="false" ht="15" hidden="false" customHeight="false" outlineLevel="0" collapsed="false">
      <c r="A25" s="5" t="n">
        <v>24</v>
      </c>
      <c r="B25" s="29" t="n">
        <v>44907</v>
      </c>
      <c r="C25" s="5" t="s">
        <v>159</v>
      </c>
      <c r="D25" s="29" t="n">
        <v>44951</v>
      </c>
      <c r="E25" s="5" t="n">
        <v>19100</v>
      </c>
      <c r="F25" s="5" t="n">
        <v>19300</v>
      </c>
      <c r="G25" s="5" t="n">
        <v>18300</v>
      </c>
      <c r="H25" s="5" t="n">
        <v>18100</v>
      </c>
      <c r="I25" s="5" t="n">
        <v>50</v>
      </c>
      <c r="J25" s="29" t="n">
        <v>44936</v>
      </c>
      <c r="K25" s="5" t="s">
        <v>126</v>
      </c>
      <c r="L25" s="5" t="n">
        <v>-25.5</v>
      </c>
      <c r="M25" s="5" t="n">
        <v>-1277</v>
      </c>
      <c r="N25" s="5"/>
    </row>
    <row r="26" customFormat="false" ht="15" hidden="false" customHeight="false" outlineLevel="0" collapsed="false">
      <c r="A26" s="5" t="n">
        <v>25</v>
      </c>
      <c r="B26" s="29" t="n">
        <v>44935</v>
      </c>
      <c r="C26" s="5" t="s">
        <v>159</v>
      </c>
      <c r="D26" s="29" t="n">
        <v>44980</v>
      </c>
      <c r="E26" s="5" t="n">
        <v>18700</v>
      </c>
      <c r="F26" s="5" t="n">
        <v>18900</v>
      </c>
      <c r="G26" s="5" t="n">
        <v>17750</v>
      </c>
      <c r="H26" s="5" t="n">
        <v>17550</v>
      </c>
      <c r="I26" s="5" t="n">
        <v>50</v>
      </c>
      <c r="J26" s="29" t="n">
        <v>44965</v>
      </c>
      <c r="K26" s="5" t="s">
        <v>160</v>
      </c>
      <c r="L26" s="5" t="n">
        <v>61.5</v>
      </c>
      <c r="M26" s="5" t="n">
        <v>3075</v>
      </c>
      <c r="N26" s="5"/>
    </row>
    <row r="27" customFormat="false" ht="15" hidden="false" customHeight="false" outlineLevel="0" collapsed="false">
      <c r="A27" s="5" t="n">
        <v>26</v>
      </c>
      <c r="B27" s="29" t="n">
        <v>44970</v>
      </c>
      <c r="C27" s="5" t="s">
        <v>159</v>
      </c>
      <c r="D27" s="29" t="n">
        <v>45014</v>
      </c>
      <c r="E27" s="5" t="n">
        <v>18300</v>
      </c>
      <c r="F27" s="5" t="n">
        <v>18500</v>
      </c>
      <c r="G27" s="5" t="n">
        <v>17500</v>
      </c>
      <c r="H27" s="5" t="n">
        <v>17300</v>
      </c>
      <c r="I27" s="5" t="n">
        <v>50</v>
      </c>
      <c r="J27" s="29" t="n">
        <v>44991</v>
      </c>
      <c r="K27" s="5" t="s">
        <v>160</v>
      </c>
      <c r="L27" s="5" t="n">
        <v>52.7</v>
      </c>
      <c r="M27" s="5" t="n">
        <v>2634</v>
      </c>
      <c r="N27" s="5"/>
    </row>
    <row r="28" customFormat="false" ht="15" hidden="false" customHeight="false" outlineLevel="0" collapsed="false">
      <c r="A28" s="5" t="n">
        <v>27</v>
      </c>
      <c r="B28" s="29" t="n">
        <v>44998</v>
      </c>
      <c r="C28" s="5" t="s">
        <v>159</v>
      </c>
      <c r="D28" s="29" t="n">
        <v>45043</v>
      </c>
      <c r="E28" s="5" t="n">
        <v>17900</v>
      </c>
      <c r="F28" s="5" t="n">
        <v>18100</v>
      </c>
      <c r="G28" s="5" t="n">
        <v>17100</v>
      </c>
      <c r="H28" s="5" t="n">
        <v>16900</v>
      </c>
      <c r="I28" s="5" t="n">
        <v>50</v>
      </c>
      <c r="J28" s="29" t="n">
        <v>45028</v>
      </c>
      <c r="K28" s="5" t="s">
        <v>126</v>
      </c>
      <c r="L28" s="5" t="n">
        <v>21.9</v>
      </c>
      <c r="M28" s="5" t="n">
        <v>1094</v>
      </c>
      <c r="N28" s="5"/>
    </row>
    <row r="29" customFormat="false" ht="15" hidden="false" customHeight="false" outlineLevel="0" collapsed="false">
      <c r="A29" s="5" t="n">
        <v>28</v>
      </c>
      <c r="B29" s="29" t="n">
        <v>45026</v>
      </c>
      <c r="C29" s="5" t="s">
        <v>159</v>
      </c>
      <c r="D29" s="29" t="n">
        <v>45071</v>
      </c>
      <c r="E29" s="5" t="n">
        <v>18100</v>
      </c>
      <c r="F29" s="5" t="n">
        <v>18300</v>
      </c>
      <c r="G29" s="5" t="n">
        <v>17300</v>
      </c>
      <c r="H29" s="5" t="n">
        <v>17100</v>
      </c>
      <c r="I29" s="5" t="n">
        <v>50</v>
      </c>
      <c r="J29" s="29" t="n">
        <v>45056</v>
      </c>
      <c r="K29" s="5" t="s">
        <v>126</v>
      </c>
      <c r="L29" s="5" t="n">
        <v>-48.15</v>
      </c>
      <c r="M29" s="5" t="n">
        <v>-2408</v>
      </c>
      <c r="N29" s="5"/>
    </row>
    <row r="30" customFormat="false" ht="15" hidden="false" customHeight="false" outlineLevel="0" collapsed="false">
      <c r="A30" s="5" t="n">
        <v>29</v>
      </c>
      <c r="B30" s="29" t="n">
        <v>45061</v>
      </c>
      <c r="C30" s="5" t="s">
        <v>159</v>
      </c>
      <c r="D30" s="29" t="n">
        <v>45105</v>
      </c>
      <c r="E30" s="5" t="n">
        <v>18800</v>
      </c>
      <c r="F30" s="5" t="n">
        <v>19000</v>
      </c>
      <c r="G30" s="5" t="n">
        <v>18050</v>
      </c>
      <c r="H30" s="5" t="n">
        <v>17850</v>
      </c>
      <c r="I30" s="5" t="n">
        <v>50</v>
      </c>
      <c r="J30" s="29" t="n">
        <v>45090</v>
      </c>
      <c r="K30" s="5" t="s">
        <v>126</v>
      </c>
      <c r="L30" s="5" t="n">
        <v>20.55</v>
      </c>
      <c r="M30" s="5" t="n">
        <v>1028</v>
      </c>
      <c r="N30" s="5"/>
    </row>
    <row r="31" customFormat="false" ht="15" hidden="false" customHeight="false" outlineLevel="0" collapsed="false">
      <c r="A31" s="5" t="n">
        <v>30</v>
      </c>
      <c r="B31" s="29" t="n">
        <v>45089</v>
      </c>
      <c r="C31" s="5" t="s">
        <v>159</v>
      </c>
      <c r="D31" s="29" t="n">
        <v>45134</v>
      </c>
      <c r="E31" s="5" t="n">
        <v>19100</v>
      </c>
      <c r="F31" s="5" t="n">
        <v>19300</v>
      </c>
      <c r="G31" s="5" t="n">
        <v>18400</v>
      </c>
      <c r="H31" s="5" t="n">
        <v>18200</v>
      </c>
      <c r="I31" s="5" t="n">
        <v>50</v>
      </c>
      <c r="J31" s="29" t="n">
        <v>45119</v>
      </c>
      <c r="K31" s="5" t="s">
        <v>126</v>
      </c>
      <c r="L31" s="5" t="n">
        <v>-54.7</v>
      </c>
      <c r="M31" s="5" t="n">
        <v>-2736</v>
      </c>
      <c r="N31" s="5"/>
    </row>
    <row r="32" customFormat="false" ht="15" hidden="false" customHeight="false" outlineLevel="0" collapsed="false">
      <c r="A32" s="5" t="n">
        <v>31</v>
      </c>
      <c r="B32" s="29" t="n">
        <v>45124</v>
      </c>
      <c r="C32" s="5" t="s">
        <v>159</v>
      </c>
      <c r="D32" s="29" t="n">
        <v>45169</v>
      </c>
      <c r="E32" s="5" t="n">
        <v>20100</v>
      </c>
      <c r="F32" s="5" t="n">
        <v>20300</v>
      </c>
      <c r="G32" s="5" t="n">
        <v>19350</v>
      </c>
      <c r="H32" s="5" t="n">
        <v>19150</v>
      </c>
      <c r="I32" s="5" t="n">
        <v>50</v>
      </c>
      <c r="J32" s="29" t="n">
        <v>45147</v>
      </c>
      <c r="K32" s="5" t="s">
        <v>160</v>
      </c>
      <c r="L32" s="5" t="n">
        <v>51.1</v>
      </c>
      <c r="M32" s="5" t="n">
        <v>2555</v>
      </c>
      <c r="N32" s="5"/>
    </row>
    <row r="33" customFormat="false" ht="15" hidden="false" customHeight="false" outlineLevel="0" collapsed="false">
      <c r="A33" s="5" t="n">
        <v>32</v>
      </c>
      <c r="B33" s="29" t="n">
        <v>45152</v>
      </c>
      <c r="C33" s="5" t="s">
        <v>159</v>
      </c>
      <c r="D33" s="29" t="n">
        <v>45197</v>
      </c>
      <c r="E33" s="5" t="n">
        <v>19800</v>
      </c>
      <c r="F33" s="5" t="n">
        <v>20000</v>
      </c>
      <c r="G33" s="5" t="n">
        <v>19100</v>
      </c>
      <c r="H33" s="5" t="n">
        <v>18900</v>
      </c>
      <c r="I33" s="5" t="n">
        <v>50</v>
      </c>
      <c r="J33" s="29" t="n">
        <v>45182</v>
      </c>
      <c r="K33" s="5" t="s">
        <v>126</v>
      </c>
      <c r="L33" s="5" t="n">
        <v>-45.9</v>
      </c>
      <c r="M33" s="5" t="n">
        <v>-2295</v>
      </c>
      <c r="N33" s="5"/>
    </row>
    <row r="34" customFormat="false" ht="15" hidden="false" customHeight="false" outlineLevel="0" collapsed="false">
      <c r="A34" s="5" t="n">
        <v>33</v>
      </c>
      <c r="B34" s="29" t="n">
        <v>45180</v>
      </c>
      <c r="C34" s="5" t="s">
        <v>159</v>
      </c>
      <c r="D34" s="29" t="n">
        <v>45225</v>
      </c>
      <c r="E34" s="5" t="n">
        <v>20300</v>
      </c>
      <c r="F34" s="5" t="n">
        <v>20500</v>
      </c>
      <c r="G34" s="5" t="n">
        <v>19700</v>
      </c>
      <c r="H34" s="5" t="n">
        <v>19500</v>
      </c>
      <c r="I34" s="5" t="n">
        <v>50</v>
      </c>
      <c r="J34" s="29" t="n">
        <v>45210</v>
      </c>
      <c r="K34" s="5" t="s">
        <v>126</v>
      </c>
      <c r="L34" s="5" t="n">
        <v>51.6</v>
      </c>
      <c r="M34" s="5" t="n">
        <v>2580</v>
      </c>
      <c r="N34" s="5"/>
    </row>
    <row r="35" customFormat="false" ht="15" hidden="false" customHeight="false" outlineLevel="0" collapsed="false">
      <c r="A35" s="5" t="n">
        <v>34</v>
      </c>
      <c r="B35" s="29" t="n">
        <v>45215</v>
      </c>
      <c r="C35" s="5" t="s">
        <v>159</v>
      </c>
      <c r="D35" s="29" t="n">
        <v>45260</v>
      </c>
      <c r="E35" s="5" t="n">
        <v>20200</v>
      </c>
      <c r="F35" s="5" t="n">
        <v>20400</v>
      </c>
      <c r="G35" s="5" t="n">
        <v>19500</v>
      </c>
      <c r="H35" s="5" t="n">
        <v>19300</v>
      </c>
      <c r="I35" s="5" t="n">
        <v>50</v>
      </c>
      <c r="J35" s="29" t="n">
        <v>45245</v>
      </c>
      <c r="K35" s="5" t="s">
        <v>160</v>
      </c>
      <c r="L35" s="5" t="n">
        <v>62</v>
      </c>
      <c r="M35" s="5" t="n">
        <v>3100</v>
      </c>
      <c r="N35" s="5"/>
    </row>
    <row r="36" customFormat="false" ht="15" hidden="false" customHeight="false" outlineLevel="0" collapsed="false">
      <c r="A36" s="5" t="n">
        <v>35</v>
      </c>
      <c r="B36" s="29" t="n">
        <v>45243</v>
      </c>
      <c r="C36" s="5" t="s">
        <v>159</v>
      </c>
      <c r="D36" s="29" t="n">
        <v>45288</v>
      </c>
      <c r="E36" s="5" t="n">
        <v>19900</v>
      </c>
      <c r="F36" s="5" t="n">
        <v>20100</v>
      </c>
      <c r="G36" s="5" t="n">
        <v>19200</v>
      </c>
      <c r="H36" s="5" t="n">
        <v>19000</v>
      </c>
      <c r="I36" s="5" t="n">
        <v>50</v>
      </c>
      <c r="J36" s="29" t="n">
        <v>45272</v>
      </c>
      <c r="K36" s="5" t="s">
        <v>161</v>
      </c>
      <c r="L36" s="5" t="n">
        <v>-111</v>
      </c>
      <c r="M36" s="5" t="n">
        <v>-5550</v>
      </c>
      <c r="N36" s="5"/>
    </row>
    <row r="37" customFormat="false" ht="15" hidden="false" customHeight="false" outlineLevel="0" collapsed="false">
      <c r="A37" s="5" t="n">
        <v>36</v>
      </c>
      <c r="B37" s="29" t="n">
        <v>45271</v>
      </c>
      <c r="C37" s="5" t="s">
        <v>159</v>
      </c>
      <c r="D37" s="29" t="n">
        <v>45316</v>
      </c>
      <c r="E37" s="5" t="n">
        <v>21600</v>
      </c>
      <c r="F37" s="5" t="n">
        <v>21800</v>
      </c>
      <c r="G37" s="5" t="n">
        <v>20750</v>
      </c>
      <c r="H37" s="5" t="n">
        <v>20550</v>
      </c>
      <c r="I37" s="5" t="n">
        <v>50</v>
      </c>
      <c r="J37" s="29" t="n">
        <v>45301</v>
      </c>
      <c r="K37" s="5" t="s">
        <v>126</v>
      </c>
      <c r="L37" s="5" t="n">
        <v>-12.1</v>
      </c>
      <c r="M37" s="5" t="n">
        <v>-605</v>
      </c>
      <c r="N37" s="5"/>
    </row>
    <row r="38" customFormat="false" ht="15" hidden="false" customHeight="false" outlineLevel="0" collapsed="false">
      <c r="A38" s="5" t="n">
        <v>37</v>
      </c>
      <c r="B38" s="29" t="n">
        <v>45306</v>
      </c>
      <c r="C38" s="5" t="s">
        <v>159</v>
      </c>
      <c r="D38" s="29" t="n">
        <v>45351</v>
      </c>
      <c r="E38" s="5" t="n">
        <v>22750</v>
      </c>
      <c r="F38" s="5" t="n">
        <v>22950</v>
      </c>
      <c r="G38" s="5" t="n">
        <v>21600</v>
      </c>
      <c r="H38" s="5" t="n">
        <v>21400</v>
      </c>
      <c r="I38" s="5" t="n">
        <v>50</v>
      </c>
      <c r="J38" s="29" t="n">
        <v>45336</v>
      </c>
      <c r="K38" s="5" t="s">
        <v>126</v>
      </c>
      <c r="L38" s="5" t="n">
        <v>39.5</v>
      </c>
      <c r="M38" s="5" t="n">
        <v>1975</v>
      </c>
      <c r="N38" s="5"/>
    </row>
    <row r="39" customFormat="false" ht="15" hidden="false" customHeight="false" outlineLevel="0" collapsed="false">
      <c r="A39" s="5" t="n">
        <v>38</v>
      </c>
      <c r="B39" s="29" t="n">
        <v>45334</v>
      </c>
      <c r="C39" s="5" t="s">
        <v>159</v>
      </c>
      <c r="D39" s="29" t="n">
        <v>45379</v>
      </c>
      <c r="E39" s="5" t="n">
        <v>22500</v>
      </c>
      <c r="F39" s="5" t="n">
        <v>22700</v>
      </c>
      <c r="G39" s="5" t="n">
        <v>21350</v>
      </c>
      <c r="H39" s="5" t="n">
        <v>21150</v>
      </c>
      <c r="I39" s="5" t="n">
        <v>50</v>
      </c>
      <c r="J39" s="29" t="n">
        <v>45364</v>
      </c>
      <c r="K39" s="5" t="s">
        <v>126</v>
      </c>
      <c r="L39" s="5" t="n">
        <v>48.7</v>
      </c>
      <c r="M39" s="5" t="n">
        <v>2435</v>
      </c>
      <c r="N39" s="5"/>
    </row>
    <row r="40" customFormat="false" ht="15" hidden="false" customHeight="false" outlineLevel="0" collapsed="false">
      <c r="A40" s="5" t="n">
        <v>39</v>
      </c>
      <c r="B40" s="29" t="n">
        <v>45362</v>
      </c>
      <c r="C40" s="5" t="s">
        <v>159</v>
      </c>
      <c r="D40" s="29" t="n">
        <v>45407</v>
      </c>
      <c r="E40" s="5" t="n">
        <v>23200</v>
      </c>
      <c r="F40" s="5" t="n">
        <v>23400</v>
      </c>
      <c r="G40" s="5" t="n">
        <v>22100</v>
      </c>
      <c r="H40" s="5" t="n">
        <v>21900</v>
      </c>
      <c r="I40" s="5" t="n">
        <v>50</v>
      </c>
      <c r="J40" s="29" t="n">
        <v>45385</v>
      </c>
      <c r="K40" s="5" t="s">
        <v>160</v>
      </c>
      <c r="L40" s="5" t="n">
        <v>56.8</v>
      </c>
      <c r="M40" s="5" t="n">
        <v>2840</v>
      </c>
      <c r="N40" s="5"/>
    </row>
    <row r="41" customFormat="false" ht="15" hidden="false" customHeight="false" outlineLevel="0" collapsed="false">
      <c r="A41" s="5" t="n">
        <v>40</v>
      </c>
      <c r="B41" s="29" t="n">
        <v>45397</v>
      </c>
      <c r="C41" s="5" t="s">
        <v>159</v>
      </c>
      <c r="D41" s="29" t="n">
        <v>45442</v>
      </c>
      <c r="E41" s="5" t="n">
        <v>23100</v>
      </c>
      <c r="F41" s="5" t="n">
        <v>23300</v>
      </c>
      <c r="G41" s="5" t="n">
        <v>22100</v>
      </c>
      <c r="H41" s="5" t="n">
        <v>21900</v>
      </c>
      <c r="I41" s="5" t="n">
        <v>50</v>
      </c>
      <c r="J41" s="29" t="n">
        <v>45427</v>
      </c>
      <c r="K41" s="5" t="s">
        <v>126</v>
      </c>
      <c r="L41" s="5" t="n">
        <v>33</v>
      </c>
      <c r="M41" s="5" t="n">
        <v>1649</v>
      </c>
      <c r="N41" s="5"/>
    </row>
    <row r="42" customFormat="false" ht="15" hidden="false" customHeight="false" outlineLevel="0" collapsed="false">
      <c r="A42" s="5" t="n">
        <v>41</v>
      </c>
      <c r="B42" s="29" t="n">
        <v>45425</v>
      </c>
      <c r="C42" s="5" t="s">
        <v>159</v>
      </c>
      <c r="D42" s="29" t="n">
        <v>45470</v>
      </c>
      <c r="E42" s="5" t="n">
        <v>23000</v>
      </c>
      <c r="F42" s="5" t="n">
        <v>23200</v>
      </c>
      <c r="G42" s="5" t="n">
        <v>21300</v>
      </c>
      <c r="H42" s="5" t="n">
        <v>21100</v>
      </c>
      <c r="I42" s="5" t="n">
        <v>50</v>
      </c>
      <c r="J42" s="29" t="n">
        <v>45455</v>
      </c>
      <c r="K42" s="5" t="s">
        <v>126</v>
      </c>
      <c r="L42" s="5" t="n">
        <v>-27.4</v>
      </c>
      <c r="M42" s="5" t="n">
        <v>-1370</v>
      </c>
      <c r="N42" s="5"/>
    </row>
    <row r="43" customFormat="false" ht="15" hidden="false" customHeight="false" outlineLevel="0" collapsed="false">
      <c r="A43" s="5" t="n">
        <v>42</v>
      </c>
      <c r="B43" s="29" t="n">
        <v>45453</v>
      </c>
      <c r="C43" s="5" t="s">
        <v>159</v>
      </c>
      <c r="D43" s="29" t="n">
        <v>45498</v>
      </c>
      <c r="E43" s="5" t="n">
        <v>24100</v>
      </c>
      <c r="F43" s="5" t="n">
        <v>24300</v>
      </c>
      <c r="G43" s="5" t="n">
        <v>22800</v>
      </c>
      <c r="H43" s="5" t="n">
        <v>22600</v>
      </c>
      <c r="I43" s="5" t="n">
        <v>50</v>
      </c>
      <c r="J43" s="29" t="n">
        <v>45483</v>
      </c>
      <c r="K43" s="5" t="s">
        <v>126</v>
      </c>
      <c r="L43" s="5" t="n">
        <v>-11.7</v>
      </c>
      <c r="M43" s="5" t="n">
        <v>-585</v>
      </c>
      <c r="N43" s="5"/>
    </row>
    <row r="44" customFormat="false" ht="15" hidden="false" customHeight="false" outlineLevel="0" collapsed="false">
      <c r="A44" s="5" t="n">
        <v>43</v>
      </c>
      <c r="B44" s="29" t="n">
        <v>45488</v>
      </c>
      <c r="C44" s="5" t="s">
        <v>159</v>
      </c>
      <c r="D44" s="29" t="n">
        <v>45533</v>
      </c>
      <c r="E44" s="5" t="n">
        <v>25300</v>
      </c>
      <c r="F44" s="5" t="n">
        <v>25500</v>
      </c>
      <c r="G44" s="5" t="n">
        <v>24100</v>
      </c>
      <c r="H44" s="5" t="n">
        <v>23900</v>
      </c>
      <c r="I44" s="5" t="n">
        <v>50</v>
      </c>
      <c r="J44" s="29" t="n">
        <v>45518</v>
      </c>
      <c r="K44" s="5" t="s">
        <v>126</v>
      </c>
      <c r="L44" s="5" t="n">
        <v>35.3</v>
      </c>
      <c r="M44" s="5" t="n">
        <v>1766</v>
      </c>
      <c r="N44" s="5"/>
    </row>
    <row r="45" customFormat="false" ht="15" hidden="false" customHeight="false" outlineLevel="0" collapsed="false">
      <c r="A45" s="5" t="n">
        <v>44</v>
      </c>
      <c r="B45" s="29" t="n">
        <v>45516</v>
      </c>
      <c r="C45" s="5" t="s">
        <v>159</v>
      </c>
      <c r="D45" s="29" t="n">
        <v>45561</v>
      </c>
      <c r="E45" s="5" t="n">
        <v>25200</v>
      </c>
      <c r="F45" s="5" t="n">
        <v>25400</v>
      </c>
      <c r="G45" s="5" t="n">
        <v>24000</v>
      </c>
      <c r="H45" s="5" t="n">
        <v>23800</v>
      </c>
      <c r="I45" s="5" t="n">
        <v>50</v>
      </c>
      <c r="J45" s="29" t="n">
        <v>45546</v>
      </c>
      <c r="K45" s="5" t="s">
        <v>126</v>
      </c>
      <c r="L45" s="5" t="n">
        <v>34.7</v>
      </c>
      <c r="M45" s="5" t="n">
        <v>1735</v>
      </c>
      <c r="N45" s="5"/>
    </row>
    <row r="46" customFormat="false" ht="15" hidden="false" customHeight="false" outlineLevel="0" collapsed="false">
      <c r="A46" s="5" t="n">
        <v>45</v>
      </c>
      <c r="B46" s="29" t="n">
        <v>45551</v>
      </c>
      <c r="C46" s="5" t="s">
        <v>159</v>
      </c>
      <c r="D46" s="29" t="n">
        <v>45596</v>
      </c>
      <c r="E46" s="5" t="n">
        <v>26050</v>
      </c>
      <c r="F46" s="5" t="n">
        <v>26250</v>
      </c>
      <c r="G46" s="5" t="n">
        <v>25000</v>
      </c>
      <c r="H46" s="5" t="n">
        <v>24800</v>
      </c>
      <c r="I46" s="5" t="n">
        <v>50</v>
      </c>
      <c r="J46" s="29" t="n">
        <v>45581</v>
      </c>
      <c r="K46" s="5" t="s">
        <v>126</v>
      </c>
      <c r="L46" s="5" t="n">
        <v>21.1</v>
      </c>
      <c r="M46" s="5" t="n">
        <v>1055</v>
      </c>
      <c r="N46" s="5"/>
    </row>
    <row r="47" customFormat="false" ht="15" hidden="false" customHeight="false" outlineLevel="0" collapsed="false">
      <c r="A47" s="5" t="n">
        <v>46</v>
      </c>
      <c r="B47" s="29" t="n">
        <v>45579</v>
      </c>
      <c r="C47" s="5" t="s">
        <v>159</v>
      </c>
      <c r="D47" s="29" t="n">
        <v>45624</v>
      </c>
      <c r="E47" s="5" t="n">
        <v>26000</v>
      </c>
      <c r="F47" s="5" t="n">
        <v>26200</v>
      </c>
      <c r="G47" s="5" t="n">
        <v>24700</v>
      </c>
      <c r="H47" s="5" t="n">
        <v>24500</v>
      </c>
      <c r="I47" s="5" t="n">
        <v>50</v>
      </c>
      <c r="J47" s="29" t="n">
        <v>45609</v>
      </c>
      <c r="K47" s="5" t="s">
        <v>161</v>
      </c>
      <c r="L47" s="5" t="n">
        <v>-104.9</v>
      </c>
      <c r="M47" s="5" t="n">
        <v>-5245</v>
      </c>
      <c r="N47" s="5"/>
    </row>
    <row r="48" customFormat="false" ht="15" hidden="false" customHeight="false" outlineLevel="0" collapsed="false">
      <c r="A48" s="5" t="n">
        <v>47</v>
      </c>
      <c r="B48" s="29" t="n">
        <v>45607</v>
      </c>
      <c r="C48" s="5" t="s">
        <v>159</v>
      </c>
      <c r="D48" s="29" t="n">
        <v>45652</v>
      </c>
      <c r="E48" s="5" t="n">
        <v>25100</v>
      </c>
      <c r="F48" s="5" t="n">
        <v>25300</v>
      </c>
      <c r="G48" s="5" t="n">
        <v>23900</v>
      </c>
      <c r="H48" s="5" t="n">
        <v>23700</v>
      </c>
      <c r="I48" s="5" t="n">
        <v>50</v>
      </c>
      <c r="J48" s="29" t="n">
        <v>45637</v>
      </c>
      <c r="K48" s="5" t="s">
        <v>126</v>
      </c>
      <c r="L48" s="5" t="n">
        <v>39.5</v>
      </c>
      <c r="M48" s="5" t="n">
        <v>1975</v>
      </c>
      <c r="N48" s="5"/>
    </row>
    <row r="49" customFormat="false" ht="15" hidden="false" customHeight="false" outlineLevel="0" collapsed="false">
      <c r="A49" s="5" t="n">
        <v>48</v>
      </c>
      <c r="B49" s="29" t="n">
        <v>45642</v>
      </c>
      <c r="C49" s="5" t="s">
        <v>159</v>
      </c>
      <c r="D49" s="29" t="n">
        <v>45687</v>
      </c>
      <c r="E49" s="5" t="n">
        <v>25500</v>
      </c>
      <c r="F49" s="5" t="n">
        <v>25700</v>
      </c>
      <c r="G49" s="5" t="n">
        <v>24200</v>
      </c>
      <c r="H49" s="5" t="n">
        <v>24000</v>
      </c>
      <c r="I49" s="5" t="n">
        <v>50</v>
      </c>
      <c r="J49" s="29" t="n">
        <v>45672</v>
      </c>
      <c r="K49" s="5" t="s">
        <v>126</v>
      </c>
      <c r="L49" s="5" t="n">
        <v>-84.8</v>
      </c>
      <c r="M49" s="5" t="n">
        <v>-4239</v>
      </c>
      <c r="N49" s="5"/>
    </row>
    <row r="50" customFormat="false" ht="15" hidden="false" customHeight="false" outlineLevel="0" collapsed="false">
      <c r="A50" s="5" t="n">
        <v>49</v>
      </c>
      <c r="B50" s="29" t="n">
        <v>45670</v>
      </c>
      <c r="C50" s="5" t="s">
        <v>159</v>
      </c>
      <c r="D50" s="29" t="n">
        <v>45715</v>
      </c>
      <c r="E50" s="5" t="n">
        <v>24100</v>
      </c>
      <c r="F50" s="5" t="n">
        <v>24300</v>
      </c>
      <c r="G50" s="5" t="n">
        <v>22800</v>
      </c>
      <c r="H50" s="5" t="n">
        <v>22600</v>
      </c>
      <c r="I50" s="5" t="n">
        <v>75</v>
      </c>
      <c r="J50" s="29" t="n">
        <v>45698</v>
      </c>
      <c r="K50" s="5" t="s">
        <v>160</v>
      </c>
      <c r="L50" s="5" t="n">
        <v>53.5</v>
      </c>
      <c r="M50" s="5" t="n">
        <v>4013</v>
      </c>
      <c r="N50" s="5"/>
    </row>
    <row r="51" customFormat="false" ht="15" hidden="false" customHeight="false" outlineLevel="0" collapsed="false">
      <c r="A51" s="5" t="n">
        <v>50</v>
      </c>
      <c r="B51" s="29" t="n">
        <v>45698</v>
      </c>
      <c r="C51" s="5" t="s">
        <v>159</v>
      </c>
      <c r="D51" s="29" t="n">
        <v>45743</v>
      </c>
      <c r="E51" s="5" t="n">
        <v>24200</v>
      </c>
      <c r="F51" s="5" t="n">
        <v>24400</v>
      </c>
      <c r="G51" s="5" t="n">
        <v>23000</v>
      </c>
      <c r="H51" s="5" t="n">
        <v>22800</v>
      </c>
      <c r="I51" s="5" t="n">
        <v>75</v>
      </c>
      <c r="J51" s="29" t="n">
        <v>45728</v>
      </c>
      <c r="K51" s="5" t="s">
        <v>126</v>
      </c>
      <c r="L51" s="5" t="n">
        <v>-40.2</v>
      </c>
      <c r="M51" s="5" t="n">
        <v>-3016</v>
      </c>
      <c r="N51" s="5"/>
    </row>
    <row r="52" customFormat="false" ht="15" hidden="false" customHeight="false" outlineLevel="0" collapsed="false">
      <c r="A52" s="5" t="n">
        <v>51</v>
      </c>
      <c r="B52" s="29" t="n">
        <v>45726</v>
      </c>
      <c r="C52" s="5" t="s">
        <v>159</v>
      </c>
      <c r="D52" s="29" t="n">
        <v>45771</v>
      </c>
      <c r="E52" s="5" t="n">
        <v>23400</v>
      </c>
      <c r="F52" s="5" t="n">
        <v>23600</v>
      </c>
      <c r="G52" s="5" t="n">
        <v>22200</v>
      </c>
      <c r="H52" s="5" t="n">
        <v>22000</v>
      </c>
      <c r="I52" s="5" t="n">
        <v>75</v>
      </c>
      <c r="J52" s="29" t="n">
        <v>45756</v>
      </c>
      <c r="K52" s="5" t="s">
        <v>126</v>
      </c>
      <c r="L52" s="5" t="n">
        <v>10.7</v>
      </c>
      <c r="M52" s="5" t="n">
        <v>803</v>
      </c>
      <c r="N52" s="5"/>
    </row>
    <row r="53" customFormat="false" ht="15" hidden="false" customHeight="false" outlineLevel="0" collapsed="false">
      <c r="A53" s="5" t="n">
        <v>52</v>
      </c>
      <c r="B53" s="29" t="n">
        <v>45762</v>
      </c>
      <c r="C53" s="5" t="s">
        <v>159</v>
      </c>
      <c r="D53" s="29" t="n">
        <v>45806</v>
      </c>
      <c r="E53" s="5" t="n">
        <v>24100</v>
      </c>
      <c r="F53" s="5" t="n">
        <v>24300</v>
      </c>
      <c r="G53" s="5" t="n">
        <v>22800</v>
      </c>
      <c r="H53" s="5" t="n">
        <v>22600</v>
      </c>
      <c r="I53" s="5" t="n">
        <v>75</v>
      </c>
      <c r="J53" s="29" t="n">
        <v>45791</v>
      </c>
      <c r="K53" s="5" t="s">
        <v>126</v>
      </c>
      <c r="L53" s="5" t="n">
        <v>-62.8</v>
      </c>
      <c r="M53" s="5" t="n">
        <v>-4710</v>
      </c>
      <c r="N53" s="5"/>
    </row>
    <row r="54" customFormat="false" ht="15" hidden="false" customHeight="false" outlineLevel="0" collapsed="false">
      <c r="A54" s="5" t="n">
        <v>53</v>
      </c>
      <c r="B54" s="29" t="n">
        <v>45789</v>
      </c>
      <c r="C54" s="5" t="s">
        <v>159</v>
      </c>
      <c r="D54" s="29" t="n">
        <v>45834</v>
      </c>
      <c r="E54" s="5" t="n">
        <v>25550</v>
      </c>
      <c r="F54" s="5" t="n">
        <v>25750</v>
      </c>
      <c r="G54" s="5" t="n">
        <v>24200</v>
      </c>
      <c r="H54" s="5" t="n">
        <v>24000</v>
      </c>
      <c r="I54" s="5" t="n">
        <v>75</v>
      </c>
      <c r="J54" s="29" t="n">
        <v>45819</v>
      </c>
      <c r="K54" s="5" t="s">
        <v>126</v>
      </c>
      <c r="L54" s="5" t="n">
        <v>31</v>
      </c>
      <c r="M54" s="5" t="n">
        <v>2326</v>
      </c>
      <c r="N54" s="5"/>
    </row>
    <row r="55" customFormat="false" ht="15" hidden="false" customHeight="false" outlineLevel="0" collapsed="false">
      <c r="A55" s="5" t="n">
        <v>54</v>
      </c>
      <c r="B55" s="29" t="n">
        <v>45824</v>
      </c>
      <c r="C55" s="5" t="s">
        <v>159</v>
      </c>
      <c r="D55" s="29" t="n">
        <v>45869</v>
      </c>
      <c r="E55" s="5" t="n">
        <v>25700</v>
      </c>
      <c r="F55" s="5" t="n">
        <v>25900</v>
      </c>
      <c r="G55" s="5" t="n">
        <v>24400</v>
      </c>
      <c r="H55" s="5" t="n">
        <v>24200</v>
      </c>
      <c r="I55" s="5" t="n">
        <v>75</v>
      </c>
      <c r="J55" s="29" t="n">
        <v>45849</v>
      </c>
      <c r="K55" s="5" t="s">
        <v>160</v>
      </c>
      <c r="L55" s="5" t="n">
        <v>59</v>
      </c>
      <c r="M55" s="5" t="n">
        <v>4426</v>
      </c>
      <c r="N55" s="5"/>
    </row>
    <row r="56" customFormat="false" ht="15" hidden="false" customHeight="false" outlineLevel="0" collapsed="false">
      <c r="A56" s="5" t="n">
        <v>55</v>
      </c>
      <c r="B56" s="29" t="n">
        <v>45852</v>
      </c>
      <c r="C56" s="5" t="s">
        <v>159</v>
      </c>
      <c r="D56" s="29" t="n">
        <v>45897</v>
      </c>
      <c r="E56" s="5" t="n">
        <v>25800</v>
      </c>
      <c r="F56" s="5" t="n">
        <v>26000</v>
      </c>
      <c r="G56" s="5" t="n">
        <v>24700</v>
      </c>
      <c r="H56" s="5" t="n">
        <v>24500</v>
      </c>
      <c r="I56" s="5" t="n">
        <v>75</v>
      </c>
      <c r="J56" s="29" t="n">
        <v>45882</v>
      </c>
      <c r="K56" s="5" t="s">
        <v>126</v>
      </c>
      <c r="L56" s="5" t="n">
        <v>21.7</v>
      </c>
      <c r="M56" s="5" t="n">
        <v>1627</v>
      </c>
      <c r="N56" s="5"/>
    </row>
    <row r="57" customFormat="false" ht="15" hidden="false" customHeight="false" outlineLevel="0" collapsed="false">
      <c r="A57" s="5" t="n">
        <v>56</v>
      </c>
      <c r="B57" s="29" t="n">
        <v>45887</v>
      </c>
      <c r="C57" s="5" t="s">
        <v>159</v>
      </c>
      <c r="D57" s="29" t="n">
        <v>45930</v>
      </c>
      <c r="E57" s="5" t="n">
        <v>25700</v>
      </c>
      <c r="F57" s="5" t="n">
        <v>25900</v>
      </c>
      <c r="G57" s="5" t="n">
        <v>24600</v>
      </c>
      <c r="H57" s="5" t="n">
        <v>24400</v>
      </c>
      <c r="I57" s="5" t="n">
        <v>75</v>
      </c>
      <c r="J57" s="29" t="n">
        <v>45910</v>
      </c>
      <c r="K57" s="5" t="s">
        <v>160</v>
      </c>
      <c r="L57" s="5" t="n">
        <v>55.7</v>
      </c>
      <c r="M57" s="5" t="n">
        <v>4177</v>
      </c>
      <c r="N57" s="5"/>
    </row>
    <row r="58" customFormat="false" ht="15" hidden="false" customHeight="false" outlineLevel="0" collapsed="false">
      <c r="A58" s="5" t="n">
        <v>57</v>
      </c>
      <c r="B58" s="29" t="n">
        <v>45915</v>
      </c>
      <c r="C58" s="5" t="s">
        <v>159</v>
      </c>
      <c r="D58" s="29" t="n">
        <v>45958</v>
      </c>
      <c r="E58" s="5" t="n">
        <v>25750</v>
      </c>
      <c r="F58" s="5" t="n">
        <v>25950</v>
      </c>
      <c r="G58" s="5" t="n">
        <v>24800</v>
      </c>
      <c r="H58" s="5" t="n">
        <v>24600</v>
      </c>
      <c r="I58" s="5" t="n">
        <v>75</v>
      </c>
      <c r="J58" s="29" t="n">
        <v>45943</v>
      </c>
      <c r="K58" s="5" t="s">
        <v>160</v>
      </c>
      <c r="L58" s="5" t="n">
        <v>46</v>
      </c>
      <c r="M58" s="5" t="n">
        <v>3450</v>
      </c>
      <c r="N58" s="5"/>
    </row>
    <row r="59" customFormat="false" ht="15" hidden="false" customHeight="false" outlineLevel="0" collapsed="false">
      <c r="A59" s="5" t="n">
        <v>58</v>
      </c>
      <c r="B59" s="29" t="n">
        <v>45943</v>
      </c>
      <c r="C59" s="5" t="s">
        <v>159</v>
      </c>
      <c r="D59" s="29" t="n">
        <v>45986</v>
      </c>
      <c r="E59" s="5" t="n">
        <v>25900</v>
      </c>
      <c r="F59" s="5" t="n">
        <v>26100</v>
      </c>
      <c r="G59" s="5" t="n">
        <v>24900</v>
      </c>
      <c r="H59" s="5" t="n">
        <v>24700</v>
      </c>
      <c r="I59" s="5" t="n">
        <v>75</v>
      </c>
      <c r="J59" s="29" t="n">
        <v>45971</v>
      </c>
      <c r="K59" s="5" t="s">
        <v>126</v>
      </c>
      <c r="L59" s="5" t="n">
        <v>25.3</v>
      </c>
      <c r="M59" s="5" t="n">
        <v>1898</v>
      </c>
      <c r="N59" s="5"/>
    </row>
    <row r="60" customFormat="false" ht="15" hidden="false" customHeight="false" outlineLevel="0" collapsed="false">
      <c r="A60" s="5" t="n">
        <v>59</v>
      </c>
      <c r="B60" s="29" t="n">
        <v>45978</v>
      </c>
      <c r="C60" s="5" t="s">
        <v>159</v>
      </c>
      <c r="D60" s="29" t="n">
        <v>46021</v>
      </c>
      <c r="E60" s="5" t="n">
        <v>26700</v>
      </c>
      <c r="F60" s="5" t="n">
        <v>26900</v>
      </c>
      <c r="G60" s="5" t="n">
        <v>25700</v>
      </c>
      <c r="H60" s="5" t="n">
        <v>25500</v>
      </c>
      <c r="I60" s="5" t="n">
        <v>75</v>
      </c>
      <c r="J60" s="29" t="n">
        <v>46003</v>
      </c>
      <c r="K60" s="5" t="s">
        <v>160</v>
      </c>
      <c r="L60" s="5" t="n">
        <v>61.4</v>
      </c>
      <c r="M60" s="5" t="n">
        <v>4605</v>
      </c>
      <c r="N60" s="5"/>
    </row>
    <row r="61" customFormat="false" ht="15" hidden="false" customHeight="false" outlineLevel="0" collapsed="false">
      <c r="A61" s="5" t="n">
        <v>60</v>
      </c>
      <c r="B61" s="29" t="n">
        <v>46006</v>
      </c>
      <c r="C61" s="5" t="s">
        <v>159</v>
      </c>
      <c r="D61" s="29" t="n">
        <v>46049</v>
      </c>
      <c r="E61" s="5" t="n">
        <v>26700</v>
      </c>
      <c r="F61" s="5" t="n">
        <v>26900</v>
      </c>
      <c r="G61" s="5" t="n">
        <v>25700</v>
      </c>
      <c r="H61" s="5" t="n">
        <v>25500</v>
      </c>
      <c r="I61" s="5" t="n">
        <v>65</v>
      </c>
      <c r="J61" s="29" t="n">
        <v>46029</v>
      </c>
      <c r="K61" s="5" t="s">
        <v>160</v>
      </c>
      <c r="L61" s="5" t="n">
        <v>51</v>
      </c>
      <c r="M61" s="5" t="n">
        <v>3316</v>
      </c>
      <c r="N61" s="5"/>
    </row>
    <row r="62" customFormat="false" ht="15" hidden="false" customHeight="false" outlineLevel="0" collapsed="false">
      <c r="A62" s="5" t="n">
        <v>61</v>
      </c>
      <c r="B62" s="29" t="n">
        <v>46034</v>
      </c>
      <c r="C62" s="5" t="s">
        <v>159</v>
      </c>
      <c r="D62" s="29" t="n">
        <v>46077</v>
      </c>
      <c r="E62" s="5" t="n">
        <v>26300</v>
      </c>
      <c r="F62" s="5" t="n">
        <v>26500</v>
      </c>
      <c r="G62" s="5" t="n">
        <v>25200</v>
      </c>
      <c r="H62" s="5" t="n">
        <v>25000</v>
      </c>
      <c r="I62" s="5" t="n">
        <v>65</v>
      </c>
      <c r="J62" s="29" t="n">
        <v>46062</v>
      </c>
      <c r="K62" s="5" t="s">
        <v>160</v>
      </c>
      <c r="L62" s="5" t="n">
        <v>50.8</v>
      </c>
      <c r="M62" s="5" t="n">
        <v>3302</v>
      </c>
      <c r="N62" s="5"/>
    </row>
    <row r="63" customFormat="false" ht="15" hidden="false" customHeight="false" outlineLevel="0" collapsed="false">
      <c r="A63" s="5" t="n">
        <v>62</v>
      </c>
      <c r="B63" s="29" t="n">
        <v>46069</v>
      </c>
      <c r="C63" s="5" t="s">
        <v>159</v>
      </c>
      <c r="D63" s="29" t="n">
        <v>46111</v>
      </c>
      <c r="E63" s="5" t="n">
        <v>26200</v>
      </c>
      <c r="F63" s="5" t="n">
        <v>26400</v>
      </c>
      <c r="G63" s="5" t="n">
        <v>25200</v>
      </c>
      <c r="H63" s="5" t="n">
        <v>25000</v>
      </c>
      <c r="I63" s="5" t="n">
        <v>65</v>
      </c>
      <c r="J63" s="29" t="n">
        <v>46094</v>
      </c>
      <c r="K63" s="5" t="s">
        <v>126</v>
      </c>
      <c r="L63" s="5" t="n">
        <v>-92</v>
      </c>
      <c r="M63" s="5" t="n">
        <v>-5981</v>
      </c>
      <c r="N63" s="5" t="s">
        <v>163</v>
      </c>
    </row>
    <row r="64" customFormat="false" ht="15" hidden="false" customHeight="false" outlineLevel="0" collapsed="false">
      <c r="A64" s="5" t="n">
        <v>63</v>
      </c>
      <c r="B64" s="29" t="n">
        <v>46125</v>
      </c>
      <c r="C64" s="5" t="s">
        <v>159</v>
      </c>
      <c r="D64" s="29" t="n">
        <v>46168</v>
      </c>
      <c r="E64" s="5" t="n">
        <v>24700</v>
      </c>
      <c r="F64" s="5" t="n">
        <v>24900</v>
      </c>
      <c r="G64" s="5" t="n">
        <v>23100</v>
      </c>
      <c r="H64" s="5" t="n">
        <v>22900</v>
      </c>
      <c r="I64" s="5" t="n">
        <v>65</v>
      </c>
      <c r="J64" s="29" t="n">
        <v>46153</v>
      </c>
      <c r="K64" s="5" t="s">
        <v>126</v>
      </c>
      <c r="L64" s="5" t="n">
        <v>52</v>
      </c>
      <c r="M64" s="5" t="n">
        <v>3380</v>
      </c>
      <c r="N64" s="5"/>
    </row>
    <row r="65" customFormat="false" ht="15" hidden="false" customHeight="false" outlineLevel="0" collapsed="false">
      <c r="A65" s="5" t="n">
        <v>64</v>
      </c>
      <c r="B65" s="29" t="n">
        <v>46160</v>
      </c>
      <c r="C65" s="5" t="s">
        <v>159</v>
      </c>
      <c r="D65" s="29" t="n">
        <v>46203</v>
      </c>
      <c r="E65" s="5" t="n">
        <v>24300</v>
      </c>
      <c r="F65" s="5" t="n">
        <v>24500</v>
      </c>
      <c r="G65" s="5" t="n">
        <v>22800</v>
      </c>
      <c r="H65" s="5" t="n">
        <v>22600</v>
      </c>
      <c r="I65" s="5" t="n">
        <v>65</v>
      </c>
      <c r="J65" s="29" t="n">
        <v>46185</v>
      </c>
      <c r="K65" s="5" t="s">
        <v>160</v>
      </c>
      <c r="L65" s="5" t="n">
        <v>63</v>
      </c>
      <c r="M65" s="5" t="n">
        <v>4096</v>
      </c>
      <c r="N65" s="5"/>
    </row>
    <row r="66" customFormat="false" ht="15" hidden="false" customHeight="false" outlineLevel="0" collapsed="false">
      <c r="A66" s="5" t="n">
        <v>65</v>
      </c>
      <c r="B66" s="29" t="n">
        <v>46188</v>
      </c>
      <c r="C66" s="5" t="s">
        <v>159</v>
      </c>
      <c r="D66" s="29" t="n">
        <v>46231</v>
      </c>
      <c r="E66" s="5" t="n">
        <v>24600</v>
      </c>
      <c r="F66" s="5" t="n">
        <v>24800</v>
      </c>
      <c r="G66" s="5" t="n">
        <v>23500</v>
      </c>
      <c r="H66" s="5" t="n">
        <v>23300</v>
      </c>
      <c r="I66" s="5" t="n">
        <v>65</v>
      </c>
      <c r="J66" s="29" t="n">
        <v>46216</v>
      </c>
      <c r="K66" s="5" t="s">
        <v>126</v>
      </c>
      <c r="L66" s="5" t="n">
        <v>41.2</v>
      </c>
      <c r="M66" s="5" t="n">
        <v>2678</v>
      </c>
      <c r="N66" s="5"/>
    </row>
    <row r="67" customFormat="false" ht="15" hidden="false" customHeight="false" outlineLevel="0" collapsed="false">
      <c r="A67" s="5" t="n">
        <v>66</v>
      </c>
      <c r="B67" s="29" t="n">
        <v>46216</v>
      </c>
      <c r="C67" s="5" t="s">
        <v>159</v>
      </c>
      <c r="D67" s="29" t="n">
        <v>46259</v>
      </c>
      <c r="E67" s="5" t="n">
        <v>24800</v>
      </c>
      <c r="F67" s="5" t="n">
        <v>25000</v>
      </c>
      <c r="G67" s="5" t="n">
        <v>23700</v>
      </c>
      <c r="H67" s="5" t="n">
        <v>23500</v>
      </c>
      <c r="I67" s="5" t="n">
        <v>65</v>
      </c>
      <c r="J67" s="29" t="n">
        <v>46244</v>
      </c>
      <c r="K67" s="5" t="s">
        <v>126</v>
      </c>
      <c r="L67" s="5" t="n">
        <v>32.7</v>
      </c>
      <c r="M67" s="5" t="n">
        <v>2126</v>
      </c>
      <c r="N67" s="5"/>
    </row>
    <row r="68" customFormat="false" ht="15" hidden="false" customHeight="false" outlineLevel="0" collapsed="false">
      <c r="A68" s="5" t="n">
        <v>67</v>
      </c>
      <c r="B68" s="29" t="n">
        <v>46251</v>
      </c>
      <c r="C68" s="5" t="s">
        <v>159</v>
      </c>
      <c r="D68" s="29" t="n">
        <v>46294</v>
      </c>
      <c r="E68" s="5" t="n">
        <v>24900</v>
      </c>
      <c r="F68" s="5" t="n">
        <v>25100</v>
      </c>
      <c r="G68" s="5" t="n">
        <v>24000</v>
      </c>
      <c r="H68" s="5" t="n">
        <v>23800</v>
      </c>
      <c r="I68" s="5" t="n">
        <v>65</v>
      </c>
      <c r="J68" s="29" t="n">
        <v>46276</v>
      </c>
      <c r="K68" s="5" t="s">
        <v>126</v>
      </c>
      <c r="L68" s="5" t="n">
        <v>-54</v>
      </c>
      <c r="M68" s="5" t="n">
        <v>-3509</v>
      </c>
      <c r="N68" s="5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2026-09-26T11:18:34Z</dcterms:created>
  <dc:creator>openpyxl</dc:creator>
  <dc:description/>
  <dc:language>en-US</dc:language>
  <cp:lastModifiedBy/>
  <dcterms:modified xsi:type="dcterms:W3CDTF">2026-09-26T11:18:34Z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